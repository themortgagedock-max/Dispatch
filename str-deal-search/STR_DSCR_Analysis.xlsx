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Other SWFL Markets" sheetId="8" state="visible" r:id="rId10"/>
    <sheet name="Keys Market Guide" sheetId="9" state="visible" r:id="rId11"/>
    <sheet name="STR Rules" sheetId="10" state="visible" r:id="rId12"/>
    <sheet name="Diligence Checklist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<sst xmlns="http://schemas.openxmlformats.org/spreadsheetml/2006/main" count="1492" uniqueCount="902">
  <si>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</si>
  <si>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</si>
  <si>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</si>
  <si>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</si>
  <si>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</si>
  <si>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</si>
  <si>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</si>
  <si>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</si>
  <si>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</si>
  <si>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</si>
  <si>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</si>
  <si>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</si>
  <si>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</si>
  <si>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</si>
  <si>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</si>
  <si>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</si>
  <si>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</si>
  <si>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</si>
  <si>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</si>
  <si>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</si>
  <si>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</si>
  <si>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</si>
  <si>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</si>
  <si>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</si>
  <si>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</si>
  <si>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</si>
  <si>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</si>
  <si>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</si>
  <si>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</si>
  <si>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</si>
  <si>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</si>
  <si>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</si>
  <si>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</si>
  <si>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</si>
  <si>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</si>
  <si>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</si>
  <si>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</si>
  <si>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</si>
  <si>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</si>
  <si>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</si>
  <si>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</si>
  <si>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</si>
  <si>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</si>
  <si>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</si>
  <si>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</si>
  <si>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</si>
  <si>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</si>
  <si>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</si>
  <si>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</si>
  <si>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</si>
  <si>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</si>
  <si>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</si>
  <si>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</si>
  <si>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</si>
  <si>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</si>
  <si>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</si>
  <si>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</si>
  <si>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</si>
  <si>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</si>
  <si>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</si>
  <si>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</si>
  <si>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</si>
  <si>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</si>
  <si>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</si>
  <si>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</si>
  <si>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</si>
  <si>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</si>
  <si>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</si>
  <si>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</si>
  <si>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</si>
  <si>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</si>
  <si>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</si>
  <si>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</si>
  <si>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</si>
  <si>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</si>
  <si>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</si>
  <si>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</si>
  <si>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</si>
  <si>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</si>
  <si>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</si>
  <si>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</si>
  <si>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</si>
  <si>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</si>
  <si>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</si>
  <si>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</si>
  <si>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</si>
  <si>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</si>
  <si>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</si>
  <si>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</si>
  <si>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</si>
  <si>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</si>
  <si>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</si>
  <si>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</si>
  <si>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</si>
  <si>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</si>
  <si>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</si>
  <si>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</si>
  <si>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</si>
  <si>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</si>
  <si>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</si>
  <si>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</si>
  <si>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</si>
  <si>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</si>
  <si>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</si>
  <si>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</si>
  <si>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</si>
  <si>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</si>
  <si>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</si>
  <si>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</si>
  <si>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</si>
  <si>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</si>
  <si>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</si>
  <si>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</si>
  <si>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</si>
  <si>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</si>
  <si>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</si>
  <si>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</si>
  <si>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</si>
  <si>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</si>
  <si>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</si>
  <si>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</si>
  <si>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</si>
  <si>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</si>
  <si>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</si>
  <si>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</si>
  <si>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</si>
  <si>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</si>
  <si>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</si>
  <si>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</si>
  <si>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</si>
  <si>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</si>
  <si>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</si>
  <si>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</si>
  <si>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</si>
  <si>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</si>
  <si>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</si>
  <si>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</si>
  <si>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</si>
  <si>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</si>
  <si>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</si>
  <si>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</si>
  <si>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</si>
  <si>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</si>
  <si>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</si>
  <si>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</si>
  <si>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</si>
  <si>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</si>
  <si>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</si>
  <si>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</si>
  <si>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</si>
  <si>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</si>
  <si>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</si>
  <si>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</si>
  <si>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</si>
  <si>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</si>
  <si>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</si>
  <si>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</si>
  <si>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</si>
  <si>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</si>
  <si>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</si>
  <si>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</si>
  <si>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</si>
  <si>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</si>
  <si>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</si>
  <si>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</si>
  <si>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</si>
  <si>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</si>
  <si>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</si>
  <si>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</si>
  <si>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</si>
  <si>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</si>
  <si>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</si>
  <si>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</si>
  <si>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</si>
  <si>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</si>
  <si>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</si>
  <si>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</si>
  <si>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</si>
  <si>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</si>
  <si>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</si>
  <si>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</si>
  <si>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</si>
  <si>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</si>
  <si>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</si>
  <si>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</si>
  <si>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</si>
  <si>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</si>
  <si>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</si>
  <si>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</si>
  <si>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</si>
  <si>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</si>
  <si>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</si>
  <si>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</si>
  <si>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</si>
  <si>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</si>
  <si>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</si>
  <si>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</si>
  <si>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</si>
  <si>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</si>
  <si>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</si>
  <si>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</si>
  <si>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</si>
  <si>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</si>
  <si>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</si>
  <si>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</si>
  <si>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</si>
  <si>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</si>
  <si>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</si>
  <si>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</si>
  <si>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</si>
  <si>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</si>
  <si>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</si>
  <si>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</si>
  <si>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</si>
  <si>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</si>
  <si>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</si>
  <si>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</si>
  <si>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</si>
  <si>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</si>
  <si>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</si>
  <si>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</si>
  <si>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</si>
  <si>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</si>
  <si>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</si>
  <si>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</si>
  <si>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</si>
  <si>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</si>
  <si>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</si>
  <si>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</si>
  <si>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</si>
  <si>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</si>
  <si>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</si>
  <si>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</si>
  <si>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</si>
  <si>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</si>
  <si>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</si>
  <si>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</si>
  <si>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</si>
  <si>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</si>
  <si>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</si>
  <si>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</si>
  <si>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</si>
  <si>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</si>
  <si>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</si>
  <si>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</si>
  <si>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</si>
  <si>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</si>
  <si>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</si>
  <si>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</si>
  <si>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</si>
  <si>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</si>
  <si>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</si>
  <si>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</si>
  <si>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</si>
  <si>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</si>
  <si>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</si>
  <si>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</si>
  <si>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</si>
  <si>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</si>
  <si>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</si>
  <si>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</si>
  <si>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</si>
  <si>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</si>
  <si>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</si>
  <si>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</si>
  <si>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</si>
  <si>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</si>
  <si>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</si>
  <si>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</si>
  <si>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</si>
  <si>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</si>
  <si>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</si>
  <si>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</si>
  <si>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</si>
  <si>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</si>
  <si>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</si>
  <si>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</si>
  <si>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</si>
  <si>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</si>
  <si>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</si>
  <si>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</si>
  <si>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</si>
  <si>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</si>
  <si>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</si>
  <si>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</si>
  <si>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</si>
  <si>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</si>
  <si>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</si>
  <si>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</si>
  <si>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</si>
  <si>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</si>
  <si>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</si>
  <si>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</si>
  <si>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</si>
  <si>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</si>
  <si>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</si>
  <si>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</si>
  <si>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</si>
  <si>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</si>
  <si>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</si>
  <si>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</si>
  <si>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</si>
  <si>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</si>
  <si>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</si>
  <si>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</si>
  <si>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</si>
  <si>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</si>
  <si>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</si>
  <si>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</si>
  <si>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</si>
  <si>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</si>
  <si>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</si>
  <si>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</si>
  <si>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</si>
  <si>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</si>
  <si>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</si>
  <si>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</si>
  <si>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</si>
  <si>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</si>
  <si>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</si>
  <si>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</si>
  <si>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</si>
  <si>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</si>
  <si>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</si>
  <si>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</si>
  <si>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</si>
  <si>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</si>
  <si>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</si>
  <si>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</si>
  <si>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</si>
  <si>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</si>
  <si>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</si>
  <si>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</si>
  <si>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</si>
  <si>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</si>
  <si>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</si>
  <si>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</si>
  <si>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</si>
  <si>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</si>
  <si>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</si>
  <si>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</si>
  <si>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</si>
  <si>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</si>
  <si>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</si>
  <si>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</si>
  <si>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</si>
  <si>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</si>
  <si>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</si>
  <si>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</si>
  <si>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</si>
  <si>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</si>
  <si>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</si>
  <si>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</si>
  <si>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</si>
  <si>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</si>
  <si>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</si>
  <si>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</si>
  <si>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</si>
  <si>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</si>
  <si>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</si>
  <si>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</si>
  <si>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</si>
  <si>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</si>
  <si>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</si>
  <si>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</si>
  <si>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</si>
  <si>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</si>
  <si>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</si>
  <si>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</si>
  <si>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</si>
  <si>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</si>
  <si>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</si>
  <si>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</si>
  <si>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</si>
  <si>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</si>
  <si>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</si>
  <si>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</si>
  <si>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</si>
  <si>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</si>
  <si>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</si>
  <si>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</si>
  <si>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</si>
  <si>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</si>
  <si>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</si>
  <si>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</si>
  <si>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</si>
  <si>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</si>
  <si>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</si>
  <si>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</si>
  <si>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</si>
  <si>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</si>
  <si>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</si>
  <si>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</si>
  <si>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</si>
  <si>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</si>
  <si>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</si>
  <si>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</si>
  <si>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</si>
  <si>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</si>
  <si>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</si>
  <si>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</si>
  <si>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</si>
  <si>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</si>
  <si>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</si>
  <si>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</si>
  <si>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</si>
  <si>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</si>
  <si>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</si>
  <si>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</si>
  <si>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</si>
  <si>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</si>
  <si>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</si>
  <si>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</si>
  <si>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</si>
  <si>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</si>
  <si>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</si>
  <si>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</si>
  <si>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</si>
  <si>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</si>
  <si>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</si>
  <si>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</si>
  <si>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</si>
  <si>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</si>
  <si>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</si>
  <si>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</si>
  <si>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</si>
  <si>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</si>
  <si>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</si>
  <si>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</si>
  <si>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</si>
  <si>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</si>
  <si>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</si>
  <si>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</si>
  <si>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</si>
  <si>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</si>
  <si>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</si>
  <si>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</si>
  <si>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</si>
  <si>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</si>
  <si>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</si>
  <si>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</si>
  <si>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</si>
  <si>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</si>
  <si>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</si>
  <si>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</si>
  <si>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</si>
  <si>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</si>
  <si>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</si>
  <si>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</si>
  <si>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</si>
  <si>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</si>
  <si>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</si>
  <si>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</si>
  <si>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</si>
  <si>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</si>
  <si>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</si>
  <si>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</si>
  <si>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</si>
  <si>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</si>
  <si>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</si>
  <si>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</si>
  <si>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</si>
  <si>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</si>
  <si>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</si>
  <si>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</si>
  <si>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</si>
  <si>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</si>
  <si>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</si>
  <si>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</si>
  <si>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</si>
  <si>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</si>
  <si>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</si>
  <si>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</si>
  <si>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</si>
  <si>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</si>
  <si>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</si>
  <si>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</si>
  <si>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</si>
  <si>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</si>
  <si>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</si>
  <si>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</si>
  <si>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</si>
  <si>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</si>
  <si>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</si>
  <si>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</si>
  <si>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</si>
  <si>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</si>
  <si>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</si>
  <si>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</si>
  <si>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</si>
  <si>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</si>
  <si>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</si>
  <si>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</si>
  <si>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</si>
  <si>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</si>
  <si>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</si>
  <si>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</si>
  <si>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</si>
  <si>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</si>
  <si>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</si>
  <si>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</si>
  <si>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</si>
  <si>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</si>
  <si>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</si>
  <si>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</si>
  <si>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</si>
  <si>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</si>
  <si>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</si>
  <si>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</si>
  <si>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</si>
  <si>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</si>
  <si>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</si>
  <si>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</si>
  <si>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</si>
  <si>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</si>
  <si>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</si>
  <si>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</si>
  <si>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</si>
  <si>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</si>
  <si>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</si>
  <si>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</si>
  <si>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</si>
  <si>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</si>
  <si>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</si>
  <si>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</si>
  <si>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</si>
  <si>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</si>
  <si>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</si>
  <si>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</si>
  <si>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</si>
  <si>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</si>
  <si>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</si>
  <si>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</si>
  <si>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</si>
  <si>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</si>
  <si>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</si>
  <si>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</si>
  <si>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</si>
  <si>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</si>
  <si>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</si>
  <si>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</si>
  <si>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</si>
  <si>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</si>
  <si>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</si>
  <si>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</si>
  <si>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</si>
  <si>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</si>
  <si>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</si>
  <si>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</si>
  <si>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</si>
  <si>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</si>
  <si>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</si>
  <si>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</si>
  <si>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</si>
  <si>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</si>
  <si>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</si>
  <si>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</si>
  <si>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</si>
  <si>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</si>
  <si>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</si>
  <si>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</si>
  <si>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</si>
  <si>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</si>
  <si>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</si>
  <si>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</si>
  <si>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</si>
  <si>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Notes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</si>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</sst>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monroecounty-fl.gov/701/Special-Vacation-Rental-Program" TargetMode="External"/><Relationship Id="rId20" Type="http://schemas.openxmlformats.org/officeDocument/2006/relationships/hyperlink" Target="https://www.islamorada.fl.us/315/Vacation-Rental-License-Annual-Registrat" TargetMode="External"/><Relationship Id="rId21" Type="http://schemas.openxmlformats.org/officeDocument/2006/relationships/hyperlink" Target="https://keysweekly.com/42/marathon-city-council-ups-vacation-rental-licensing-fees/" TargetMode="External"/><Relationship Id="rId22" Type="http://schemas.openxmlformats.org/officeDocument/2006/relationships/hyperlink" Target="https://www.cityofkeywest-fl.gov/DocumentCenter/View/7135/Transfer-of-Transient-Unit-License-PDF" TargetMode="External"/><Relationship Id="rId23" Type="http://schemas.openxmlformats.org/officeDocument/2006/relationships/hyperlink" Target="https://keysweekly.com/42/times-up-for-transient-rentals-in-key-wests-truman-annex/" TargetMode="External"/><Relationship Id="rId24" Type="http://schemas.openxmlformats.org/officeDocument/2006/relationships/hyperlink" Target="https://www.nqmf.com/florida-dscr-loans-for-investors-buying-in-insurance-volatile-markets-structuring-deals-in-high-risk-zones/" TargetMode="External"/><Relationship Id="rId25" Type="http://schemas.openxmlformats.org/officeDocument/2006/relationships/hyperlink" Target="https://www.airdna.co/vacation-rental-data/app/us/florida/marathon/overview" TargetMode="External"/><Relationship Id="rId26" Type="http://schemas.openxmlformats.org/officeDocument/2006/relationships/hyperlink" Target="https://paraisovacationrentals.com/how-much-can-an-airbnb-in-marathon-fl-earn/" TargetMode="External"/><Relationship Id="rId27" Type="http://schemas.openxmlformats.org/officeDocument/2006/relationships/hyperlink" Target="https://visitfloridakeys.com/industry-partners/partner-newsletter/sept-2026" TargetMode="External"/><Relationship Id="rId28" Type="http://schemas.openxmlformats.org/officeDocument/2006/relationships/hyperlink" Target="https://www.greeneinsurance.com/guides/florida-home-insurance-by-county" TargetMode="External"/><Relationship Id="rId29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0" Type="http://schemas.openxmlformats.org/officeDocument/2006/relationships/hyperlink" Target="https://floridarevenue.com/property/Documents/MillCapComp25.pdf" TargetMode="External"/><Relationship Id="rId31" Type="http://schemas.openxmlformats.org/officeDocument/2006/relationships/hyperlink" Target="https://www.keyslistings.com/blog/florida-keys-real-estate-market-august-2026/" TargetMode="External"/><Relationship Id="rId32" Type="http://schemas.openxmlformats.org/officeDocument/2006/relationships/hyperlink" Target="https://www.monroecounty-fl.gov/612/Hurricane-Irma-Recovery" TargetMode="External"/><Relationship Id="rId33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-4885.91575316079</v>
      </c>
      <c r="K12" s="6" t="n">
        <f aca="false">'Monroe (Keys)'!$AE$7</f>
        <v>-24885.9157531608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-12164.2575558435</v>
      </c>
      <c r="K13" s="6" t="n">
        <f aca="false">'Monroe (Keys)'!$AE$6</f>
        <v>-31960.2575558435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</sheetData>
  <mergeCells count="7">
    <mergeCell ref="A16:L16"/>
    <mergeCell ref="A17:L17"/>
    <mergeCell ref="A18:L18"/>
    <mergeCell ref="A19:L19"/>
    <mergeCell ref="A20:L20"/>
    <mergeCell ref="A21:L21"/>
    <mergeCell ref="A22:L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35</v>
      </c>
    </row>
    <row r="2" customFormat="false" ht="15" hidden="false" customHeight="false" outlineLevel="0" collapsed="false">
      <c r="B2" s="2" t="s">
        <v>36</v>
      </c>
    </row>
    <row r="4" customFormat="false" ht="15" hidden="false" customHeight="false" outlineLevel="0" collapsed="false">
      <c r="B4" s="12" t="s">
        <v>37</v>
      </c>
      <c r="C4" s="12" t="s">
        <v>38</v>
      </c>
      <c r="I4" s="12" t="s">
        <v>39</v>
      </c>
    </row>
    <row r="5" customFormat="false" ht="15" hidden="false" customHeight="false" outlineLevel="0" collapsed="false">
      <c r="B5" s="4" t="s">
        <v>40</v>
      </c>
      <c r="C5" s="13" t="n">
        <v>800</v>
      </c>
      <c r="I5" s="14" t="s">
        <v>41</v>
      </c>
    </row>
    <row r="6" customFormat="false" ht="15" hidden="false" customHeight="false" outlineLevel="0" collapsed="false">
      <c r="B6" s="4" t="s">
        <v>42</v>
      </c>
      <c r="C6" s="15" t="n">
        <v>150000</v>
      </c>
      <c r="I6" s="14" t="s">
        <v>43</v>
      </c>
    </row>
    <row r="7" customFormat="false" ht="15" hidden="false" customHeight="false" outlineLevel="0" collapsed="false">
      <c r="B7" s="4" t="s">
        <v>44</v>
      </c>
      <c r="C7" s="15" t="n">
        <v>550000</v>
      </c>
      <c r="I7" s="14" t="s">
        <v>45</v>
      </c>
    </row>
    <row r="8" customFormat="false" ht="15" hidden="false" customHeight="false" outlineLevel="0" collapsed="false">
      <c r="B8" s="4" t="s">
        <v>46</v>
      </c>
      <c r="C8" s="15" t="n">
        <v>60000</v>
      </c>
      <c r="I8" s="14" t="s">
        <v>47</v>
      </c>
    </row>
    <row r="10" customFormat="false" ht="15" hidden="false" customHeight="false" outlineLevel="0" collapsed="false">
      <c r="B10" s="12" t="s">
        <v>48</v>
      </c>
      <c r="C10" s="12" t="s">
        <v>38</v>
      </c>
      <c r="I10" s="12" t="s">
        <v>39</v>
      </c>
    </row>
    <row r="11" customFormat="false" ht="15" hidden="false" customHeight="false" outlineLevel="0" collapsed="false">
      <c r="B11" s="4" t="s">
        <v>49</v>
      </c>
      <c r="C11" s="16" t="n">
        <v>0.075</v>
      </c>
      <c r="I11" s="14" t="s">
        <v>50</v>
      </c>
    </row>
    <row r="12" customFormat="false" ht="15" hidden="false" customHeight="false" outlineLevel="0" collapsed="false">
      <c r="B12" s="4" t="s">
        <v>51</v>
      </c>
      <c r="C12" s="16" t="n">
        <v>0.0725</v>
      </c>
      <c r="I12" s="14" t="s">
        <v>52</v>
      </c>
    </row>
    <row r="13" customFormat="false" ht="15" hidden="false" customHeight="false" outlineLevel="0" collapsed="false">
      <c r="B13" s="4" t="s">
        <v>53</v>
      </c>
      <c r="C13" s="16" t="n">
        <v>0.07125</v>
      </c>
      <c r="I13" s="14" t="s">
        <v>52</v>
      </c>
    </row>
    <row r="14" customFormat="false" ht="15" hidden="false" customHeight="false" outlineLevel="0" collapsed="false">
      <c r="B14" s="4" t="s">
        <v>54</v>
      </c>
      <c r="C14" s="13" t="n">
        <v>360</v>
      </c>
      <c r="I14" s="14" t="s">
        <v>55</v>
      </c>
    </row>
    <row r="15" customFormat="false" ht="15" hidden="false" customHeight="false" outlineLevel="0" collapsed="false">
      <c r="B15" s="4" t="s">
        <v>56</v>
      </c>
      <c r="C15" s="17" t="n">
        <v>0.25</v>
      </c>
      <c r="I15" s="14" t="s">
        <v>57</v>
      </c>
    </row>
    <row r="16" customFormat="false" ht="23.85" hidden="false" customHeight="false" outlineLevel="0" collapsed="false">
      <c r="B16" s="4" t="s">
        <v>58</v>
      </c>
      <c r="C16" s="18" t="n">
        <v>0.04</v>
      </c>
      <c r="I16" s="14" t="s">
        <v>59</v>
      </c>
    </row>
    <row r="17" customFormat="false" ht="15" hidden="false" customHeight="false" outlineLevel="0" collapsed="false">
      <c r="B17" s="4" t="s">
        <v>60</v>
      </c>
      <c r="C17" s="13" t="n">
        <v>6</v>
      </c>
      <c r="I17" s="14" t="s">
        <v>61</v>
      </c>
    </row>
    <row r="18" customFormat="false" ht="23.85" hidden="false" customHeight="false" outlineLevel="0" collapsed="false">
      <c r="B18" s="4" t="s">
        <v>62</v>
      </c>
      <c r="C18" s="18" t="n">
        <v>0.8</v>
      </c>
      <c r="I18" s="14" t="s">
        <v>63</v>
      </c>
    </row>
    <row r="19" customFormat="false" ht="23.85" hidden="false" customHeight="false" outlineLevel="0" collapsed="false">
      <c r="B19" s="4" t="s">
        <v>64</v>
      </c>
      <c r="C19" s="19" t="n">
        <v>7000</v>
      </c>
      <c r="I19" s="14" t="s">
        <v>65</v>
      </c>
    </row>
    <row r="21" customFormat="false" ht="15" hidden="false" customHeight="false" outlineLevel="0" collapsed="false">
      <c r="B21" s="12" t="s">
        <v>66</v>
      </c>
      <c r="C21" s="12" t="s">
        <v>67</v>
      </c>
      <c r="I21" s="12" t="s">
        <v>39</v>
      </c>
    </row>
    <row r="22" customFormat="false" ht="15" hidden="false" customHeight="false" outlineLevel="0" collapsed="false">
      <c r="B22" s="4" t="s">
        <v>68</v>
      </c>
      <c r="C22" s="19" t="n">
        <v>1000</v>
      </c>
      <c r="I22" s="14" t="s">
        <v>69</v>
      </c>
    </row>
    <row r="23" customFormat="false" ht="15" hidden="false" customHeight="false" outlineLevel="0" collapsed="false">
      <c r="B23" s="4" t="s">
        <v>70</v>
      </c>
      <c r="C23" s="19" t="n">
        <v>4500</v>
      </c>
      <c r="I23" s="14" t="s">
        <v>71</v>
      </c>
    </row>
    <row r="24" customFormat="false" ht="15" hidden="false" customHeight="false" outlineLevel="0" collapsed="false">
      <c r="B24" s="4" t="s">
        <v>72</v>
      </c>
      <c r="C24" s="19" t="n">
        <v>9000</v>
      </c>
      <c r="I24" s="14" t="s">
        <v>73</v>
      </c>
    </row>
    <row r="25" customFormat="false" ht="15" hidden="false" customHeight="false" outlineLevel="0" collapsed="false">
      <c r="B25" s="4" t="s">
        <v>74</v>
      </c>
      <c r="C25" s="19" t="n">
        <v>2000</v>
      </c>
      <c r="I25" s="14" t="s">
        <v>75</v>
      </c>
    </row>
    <row r="27" customFormat="false" ht="15" hidden="false" customHeight="false" outlineLevel="0" collapsed="false">
      <c r="B27" s="12" t="s">
        <v>76</v>
      </c>
      <c r="C27" s="12" t="s">
        <v>77</v>
      </c>
      <c r="D27" s="12" t="s">
        <v>78</v>
      </c>
      <c r="I27" s="12" t="s">
        <v>39</v>
      </c>
    </row>
    <row r="28" customFormat="false" ht="15" hidden="false" customHeight="false" outlineLevel="0" collapsed="false">
      <c r="B28" s="4" t="s">
        <v>79</v>
      </c>
      <c r="C28" s="20" t="n">
        <v>0.015</v>
      </c>
      <c r="D28" s="21" t="n">
        <f aca="false">$C$19</f>
        <v>7000</v>
      </c>
      <c r="I28" s="14" t="s">
        <v>80</v>
      </c>
    </row>
    <row r="29" customFormat="false" ht="15" hidden="false" customHeight="false" outlineLevel="0" collapsed="false">
      <c r="B29" s="4" t="s">
        <v>81</v>
      </c>
      <c r="C29" s="20" t="n">
        <v>0.0135</v>
      </c>
      <c r="D29" s="21" t="n">
        <f aca="false">$C$19</f>
        <v>7000</v>
      </c>
      <c r="I29" s="14" t="s">
        <v>82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83</v>
      </c>
    </row>
    <row r="31" customFormat="false" ht="23.85" hidden="false" customHeight="false" outlineLevel="0" collapsed="false">
      <c r="B31" s="4" t="s">
        <v>84</v>
      </c>
      <c r="C31" s="20" t="n">
        <v>0.017</v>
      </c>
      <c r="D31" s="21" t="n">
        <f aca="false">$C$19</f>
        <v>7000</v>
      </c>
      <c r="I31" s="14" t="s">
        <v>85</v>
      </c>
    </row>
    <row r="32" customFormat="false" ht="15" hidden="false" customHeight="false" outlineLevel="0" collapsed="false">
      <c r="B32" s="4" t="s">
        <v>86</v>
      </c>
      <c r="C32" s="20" t="n">
        <v>0.0165</v>
      </c>
      <c r="D32" s="21" t="n">
        <f aca="false">$C$19</f>
        <v>7000</v>
      </c>
      <c r="I32" s="14" t="s">
        <v>87</v>
      </c>
    </row>
    <row r="33" customFormat="false" ht="15" hidden="false" customHeight="false" outlineLevel="0" collapsed="false">
      <c r="B33" s="4" t="s">
        <v>88</v>
      </c>
      <c r="C33" s="20" t="n">
        <v>0.014</v>
      </c>
      <c r="D33" s="21" t="n">
        <f aca="false">$C$19</f>
        <v>7000</v>
      </c>
      <c r="I33" s="14" t="s">
        <v>89</v>
      </c>
    </row>
    <row r="34" customFormat="false" ht="46.25" hidden="false" customHeight="false" outlineLevel="0" collapsed="false">
      <c r="B34" s="4" t="s">
        <v>90</v>
      </c>
      <c r="C34" s="20" t="n">
        <v>0.0095</v>
      </c>
      <c r="D34" s="22" t="n">
        <v>8000</v>
      </c>
      <c r="I34" s="14" t="s">
        <v>91</v>
      </c>
    </row>
    <row r="36" customFormat="false" ht="15" hidden="false" customHeight="false" outlineLevel="0" collapsed="false">
      <c r="B36" s="3" t="s">
        <v>92</v>
      </c>
      <c r="C36" s="3" t="s">
        <v>93</v>
      </c>
      <c r="D36" s="3" t="s">
        <v>94</v>
      </c>
      <c r="E36" s="3" t="s">
        <v>95</v>
      </c>
      <c r="F36" s="3" t="s">
        <v>96</v>
      </c>
      <c r="G36" s="3" t="s">
        <v>97</v>
      </c>
      <c r="H36" s="3" t="s">
        <v>98</v>
      </c>
      <c r="I36" s="12" t="s">
        <v>39</v>
      </c>
    </row>
    <row r="37" customFormat="false" ht="23.85" hidden="false" customHeight="false" outlineLevel="0" collapsed="false">
      <c r="B37" s="4" t="s">
        <v>99</v>
      </c>
      <c r="C37" s="18" t="n">
        <v>0.2</v>
      </c>
      <c r="D37" s="18" t="n">
        <v>0.1</v>
      </c>
      <c r="E37" s="18" t="n">
        <v>0.1</v>
      </c>
      <c r="F37" s="18" t="n">
        <v>0.08</v>
      </c>
      <c r="G37" s="18" t="n">
        <v>0.05</v>
      </c>
      <c r="H37" s="23" t="n">
        <f aca="false">SUM(D37:G37)</f>
        <v>0.33</v>
      </c>
      <c r="I37" s="14" t="s">
        <v>100</v>
      </c>
    </row>
    <row r="38" customFormat="false" ht="23.85" hidden="false" customHeight="false" outlineLevel="0" collapsed="false">
      <c r="B38" s="4" t="s">
        <v>101</v>
      </c>
      <c r="C38" s="18" t="n">
        <v>0.12</v>
      </c>
      <c r="D38" s="18" t="n">
        <v>0.02</v>
      </c>
      <c r="E38" s="18" t="n">
        <v>0.03</v>
      </c>
      <c r="F38" s="18" t="n">
        <v>0.06</v>
      </c>
      <c r="G38" s="18" t="n">
        <v>0.05</v>
      </c>
      <c r="H38" s="23" t="n">
        <f aca="false">SUM(D38:G38)</f>
        <v>0.16</v>
      </c>
      <c r="I38" s="14" t="s">
        <v>102</v>
      </c>
    </row>
    <row r="40" customFormat="false" ht="15" hidden="false" customHeight="false" outlineLevel="0" collapsed="false">
      <c r="B40" s="12" t="s">
        <v>103</v>
      </c>
      <c r="C40" s="12" t="s">
        <v>67</v>
      </c>
      <c r="I40" s="12" t="s">
        <v>39</v>
      </c>
    </row>
    <row r="41" customFormat="false" ht="15" hidden="false" customHeight="false" outlineLevel="0" collapsed="false">
      <c r="B41" s="4" t="s">
        <v>104</v>
      </c>
      <c r="C41" s="19" t="n">
        <v>6000</v>
      </c>
      <c r="I41" s="14" t="s">
        <v>105</v>
      </c>
    </row>
    <row r="42" customFormat="false" ht="15" hidden="false" customHeight="false" outlineLevel="0" collapsed="false">
      <c r="B42" s="4" t="s">
        <v>106</v>
      </c>
      <c r="C42" s="19" t="n">
        <v>3000</v>
      </c>
      <c r="I42" s="14"/>
    </row>
    <row r="43" customFormat="false" ht="15" hidden="false" customHeight="false" outlineLevel="0" collapsed="false">
      <c r="B43" s="4" t="s">
        <v>107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57.45" hidden="false" customHeight="false" outlineLevel="0" collapsed="false">
      <c r="A6" s="13" t="n">
        <v>1</v>
      </c>
      <c r="B6" s="25" t="s">
        <v>139</v>
      </c>
      <c r="C6" s="26" t="s">
        <v>140</v>
      </c>
      <c r="D6" s="27" t="s">
        <v>79</v>
      </c>
      <c r="E6" s="26" t="s">
        <v>141</v>
      </c>
      <c r="F6" s="26" t="s">
        <v>142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143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37050</v>
      </c>
      <c r="AC6" s="21" t="n">
        <f aca="false">K6*INDEX(Assumptions!$C$37:$C$38,MATCH(Q6,Assumptions!$B$37:$B$38,0))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3" t="n">
        <f aca="false">IFERROR(K6/H6,0)</f>
        <v>0.151785714285714</v>
      </c>
      <c r="AG6" s="23" t="n">
        <f aca="false">IFERROR((K6-AB6-AC6)/H6,0)</f>
        <v>0.0552678571428571</v>
      </c>
      <c r="AH6" s="26" t="s">
        <v>145</v>
      </c>
      <c r="AI6" s="13" t="n">
        <v>21</v>
      </c>
      <c r="AJ6" s="26" t="s">
        <v>146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25" t="s">
        <v>148</v>
      </c>
      <c r="C7" s="35" t="s">
        <v>149</v>
      </c>
      <c r="D7" s="36" t="s">
        <v>79</v>
      </c>
      <c r="E7" s="35" t="s">
        <v>150</v>
      </c>
      <c r="F7" s="35" t="s">
        <v>151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152</v>
      </c>
      <c r="M7" s="36" t="s">
        <v>74</v>
      </c>
      <c r="N7" s="36" t="s">
        <v>153</v>
      </c>
      <c r="O7" s="37" t="n">
        <v>0</v>
      </c>
      <c r="P7" s="37"/>
      <c r="Q7" s="36" t="s">
        <v>99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31290</v>
      </c>
      <c r="AC7" s="40" t="n">
        <f aca="false">K7*INDEX(Assumptions!$C$37:$C$38,MATCH(Q7,Assumptions!$B$37:$B$38,0))</f>
        <v>14600</v>
      </c>
      <c r="AD7" s="40" t="n">
        <f aca="false">K7-AB7-W7*12</f>
        <v>-2432.09799432634</v>
      </c>
      <c r="AE7" s="40" t="n">
        <f aca="false">AD7-AC7</f>
        <v>-17032.0979943263</v>
      </c>
      <c r="AF7" s="43" t="n">
        <f aca="false">IFERROR(K7/H7,0)</f>
        <v>0.158695652173913</v>
      </c>
      <c r="AG7" s="43" t="n">
        <f aca="false">IFERROR((K7-AB7-AC7)/H7,0)</f>
        <v>0.0589347826086957</v>
      </c>
      <c r="AH7" s="35" t="s">
        <v>154</v>
      </c>
      <c r="AI7" s="34" t="n">
        <v>14</v>
      </c>
      <c r="AJ7" s="35" t="s">
        <v>155</v>
      </c>
      <c r="AK7" s="44" t="s">
        <v>147</v>
      </c>
    </row>
    <row r="8" customFormat="false" ht="46.25" hidden="false" customHeight="false" outlineLevel="0" collapsed="false">
      <c r="A8" s="13" t="n">
        <v>3</v>
      </c>
      <c r="B8" s="25" t="s">
        <v>156</v>
      </c>
      <c r="C8" s="26" t="s">
        <v>157</v>
      </c>
      <c r="D8" s="27" t="s">
        <v>79</v>
      </c>
      <c r="E8" s="26" t="s">
        <v>141</v>
      </c>
      <c r="F8" s="26" t="s">
        <v>158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159</v>
      </c>
      <c r="M8" s="27" t="s">
        <v>74</v>
      </c>
      <c r="N8" s="27" t="s">
        <v>144</v>
      </c>
      <c r="O8" s="19" t="n">
        <v>0</v>
      </c>
      <c r="P8" s="19"/>
      <c r="Q8" s="27" t="s">
        <v>99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38370</v>
      </c>
      <c r="AC8" s="21" t="n">
        <f aca="false">K8*INDEX(Assumptions!$C$37:$C$38,MATCH(Q8,Assumptions!$B$37:$B$38,0))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3" t="n">
        <f aca="false">IFERROR(K8/H8,0)</f>
        <v>0.148333333333333</v>
      </c>
      <c r="AG8" s="23" t="n">
        <f aca="false">IFERROR((K8-AB8-AC8)/H8,0)</f>
        <v>0.0547166666666667</v>
      </c>
      <c r="AH8" s="26" t="s">
        <v>160</v>
      </c>
      <c r="AI8" s="13" t="n">
        <v>23</v>
      </c>
      <c r="AJ8" s="26" t="s">
        <v>161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162</v>
      </c>
      <c r="C9" s="35" t="s">
        <v>163</v>
      </c>
      <c r="D9" s="36" t="s">
        <v>81</v>
      </c>
      <c r="E9" s="35" t="s">
        <v>150</v>
      </c>
      <c r="F9" s="35" t="s">
        <v>164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165</v>
      </c>
      <c r="M9" s="36" t="s">
        <v>68</v>
      </c>
      <c r="N9" s="36" t="s">
        <v>153</v>
      </c>
      <c r="O9" s="37" t="n">
        <v>0</v>
      </c>
      <c r="P9" s="37"/>
      <c r="Q9" s="36" t="s">
        <v>99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27000</v>
      </c>
      <c r="AC9" s="40" t="n">
        <f aca="false">K9*INDEX(Assumptions!$C$37:$C$38,MATCH(Q9,Assumptions!$B$37:$B$38,0))</f>
        <v>12000</v>
      </c>
      <c r="AD9" s="40" t="n">
        <f aca="false">K9-AB9-W9*12</f>
        <v>-9077.61866830105</v>
      </c>
      <c r="AE9" s="40" t="n">
        <f aca="false">AD9-AC9</f>
        <v>-21077.6186683011</v>
      </c>
      <c r="AF9" s="43" t="n">
        <f aca="false">IFERROR(K9/H9,0)</f>
        <v>0.131868131868132</v>
      </c>
      <c r="AG9" s="43" t="n">
        <f aca="false">IFERROR((K9-AB9-AC9)/H9,0)</f>
        <v>0.0461538461538462</v>
      </c>
      <c r="AH9" s="35" t="s">
        <v>166</v>
      </c>
      <c r="AI9" s="34" t="n">
        <v>78</v>
      </c>
      <c r="AJ9" s="35" t="s">
        <v>167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168</v>
      </c>
      <c r="C10" s="26" t="s">
        <v>157</v>
      </c>
      <c r="D10" s="27" t="s">
        <v>79</v>
      </c>
      <c r="E10" s="26" t="s">
        <v>141</v>
      </c>
      <c r="F10" s="26" t="s">
        <v>169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170</v>
      </c>
      <c r="M10" s="27" t="s">
        <v>68</v>
      </c>
      <c r="N10" s="27" t="s">
        <v>144</v>
      </c>
      <c r="O10" s="19" t="n">
        <v>0</v>
      </c>
      <c r="P10" s="19"/>
      <c r="Q10" s="27" t="s">
        <v>99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26820</v>
      </c>
      <c r="AC10" s="21" t="n">
        <f aca="false">K10*INDEX(Assumptions!$C$37:$C$38,MATCH(Q10,Assumptions!$B$37:$B$38,0))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3" t="n">
        <f aca="false">IFERROR(K10/H10,0)</f>
        <v>0.113684449862</v>
      </c>
      <c r="AG10" s="23" t="n">
        <f aca="false">IFERROR((K10-AB10-AC10)/H10,0)</f>
        <v>0.0344842831248066</v>
      </c>
      <c r="AH10" s="26" t="s">
        <v>171</v>
      </c>
      <c r="AI10" s="13" t="n">
        <v>18</v>
      </c>
      <c r="AJ10" s="26" t="s">
        <v>172</v>
      </c>
      <c r="AK10" s="33" t="s">
        <v>147</v>
      </c>
    </row>
    <row r="11" customFormat="false" ht="23.85" hidden="false" customHeight="false" outlineLevel="0" collapsed="false">
      <c r="A11" s="34" t="n">
        <v>6</v>
      </c>
      <c r="B11" s="35" t="s">
        <v>173</v>
      </c>
      <c r="C11" s="35" t="s">
        <v>157</v>
      </c>
      <c r="D11" s="36" t="s">
        <v>79</v>
      </c>
      <c r="E11" s="35" t="s">
        <v>141</v>
      </c>
      <c r="F11" s="35" t="s">
        <v>174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175</v>
      </c>
      <c r="M11" s="36" t="s">
        <v>74</v>
      </c>
      <c r="N11" s="36" t="s">
        <v>144</v>
      </c>
      <c r="O11" s="37" t="n">
        <v>0</v>
      </c>
      <c r="P11" s="37"/>
      <c r="Q11" s="36" t="s">
        <v>99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28800</v>
      </c>
      <c r="AC11" s="40" t="n">
        <f aca="false">K11*INDEX(Assumptions!$C$37:$C$38,MATCH(Q11,Assumptions!$B$37:$B$38,0))</f>
        <v>12000</v>
      </c>
      <c r="AD11" s="40" t="n">
        <f aca="false">K11-AB11-W11*12</f>
        <v>-17143.8705806045</v>
      </c>
      <c r="AE11" s="40" t="n">
        <f aca="false">AD11-AC11</f>
        <v>-29143.8705806045</v>
      </c>
      <c r="AF11" s="43" t="n">
        <f aca="false">IFERROR(K11/H11,0)</f>
        <v>0.116504854368932</v>
      </c>
      <c r="AG11" s="43" t="n">
        <f aca="false">IFERROR((K11-AB11-AC11)/H11,0)</f>
        <v>0.0372815533980583</v>
      </c>
      <c r="AH11" s="35" t="s">
        <v>176</v>
      </c>
      <c r="AI11" s="34" t="n">
        <v>58</v>
      </c>
      <c r="AJ11" s="35" t="s">
        <v>177</v>
      </c>
      <c r="AK11" s="44" t="s">
        <v>147</v>
      </c>
    </row>
    <row r="12" customFormat="false" ht="23.85" hidden="false" customHeight="false" outlineLevel="0" collapsed="false">
      <c r="A12" s="13" t="n">
        <v>7</v>
      </c>
      <c r="B12" s="26" t="s">
        <v>178</v>
      </c>
      <c r="C12" s="26" t="s">
        <v>163</v>
      </c>
      <c r="D12" s="27" t="s">
        <v>81</v>
      </c>
      <c r="E12" s="26" t="s">
        <v>141</v>
      </c>
      <c r="F12" s="26" t="s">
        <v>179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180</v>
      </c>
      <c r="M12" s="27" t="s">
        <v>68</v>
      </c>
      <c r="N12" s="27" t="s">
        <v>153</v>
      </c>
      <c r="O12" s="19" t="n">
        <v>0</v>
      </c>
      <c r="P12" s="19"/>
      <c r="Q12" s="27" t="s">
        <v>99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23751.81</v>
      </c>
      <c r="AC12" s="21" t="n">
        <f aca="false">K12*INDEX(Assumptions!$C$37:$C$38,MATCH(Q12,Assumptions!$B$37:$B$38,0))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3" t="n">
        <f aca="false">IFERROR(K12/H12,0)</f>
        <v>0.0993207920792079</v>
      </c>
      <c r="AG12" s="23" t="n">
        <f aca="false">IFERROR((K12-AB12-AC12)/H12,0)</f>
        <v>0.0324233465346535</v>
      </c>
      <c r="AH12" s="26" t="s">
        <v>181</v>
      </c>
      <c r="AI12" s="13" t="n">
        <v>16</v>
      </c>
      <c r="AJ12" s="26" t="s">
        <v>182</v>
      </c>
      <c r="AK12" s="33" t="s">
        <v>147</v>
      </c>
    </row>
    <row r="13" customFormat="false" ht="23.85" hidden="false" customHeight="false" outlineLevel="0" collapsed="false">
      <c r="A13" s="34" t="n">
        <v>8</v>
      </c>
      <c r="B13" s="35" t="s">
        <v>183</v>
      </c>
      <c r="C13" s="35" t="s">
        <v>140</v>
      </c>
      <c r="D13" s="36" t="s">
        <v>79</v>
      </c>
      <c r="E13" s="35" t="s">
        <v>141</v>
      </c>
      <c r="F13" s="35" t="s">
        <v>184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185</v>
      </c>
      <c r="M13" s="36" t="s">
        <v>74</v>
      </c>
      <c r="N13" s="36" t="s">
        <v>144</v>
      </c>
      <c r="O13" s="37" t="n">
        <v>8</v>
      </c>
      <c r="P13" s="37"/>
      <c r="Q13" s="36" t="s">
        <v>99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24840</v>
      </c>
      <c r="AC13" s="40" t="n">
        <f aca="false">K13*INDEX(Assumptions!$C$37:$C$38,MATCH(Q13,Assumptions!$B$37:$B$38,0))</f>
        <v>9600</v>
      </c>
      <c r="AD13" s="40" t="n">
        <f aca="false">K13-AB13-W13*12</f>
        <v>-26425.8085586803</v>
      </c>
      <c r="AE13" s="40" t="n">
        <f aca="false">AD13-AC13</f>
        <v>-36025.8085586803</v>
      </c>
      <c r="AF13" s="43" t="n">
        <f aca="false">IFERROR(K13/H13,0)</f>
        <v>0.0905660377358491</v>
      </c>
      <c r="AG13" s="43" t="n">
        <f aca="false">IFERROR((K13-AB13-AC13)/H13,0)</f>
        <v>0.0255849056603774</v>
      </c>
      <c r="AH13" s="35" t="s">
        <v>186</v>
      </c>
      <c r="AI13" s="34" t="n">
        <v>12</v>
      </c>
      <c r="AJ13" s="35" t="s">
        <v>187</v>
      </c>
      <c r="AK13" s="44" t="s">
        <v>147</v>
      </c>
    </row>
    <row r="14" customFormat="false" ht="23.85" hidden="false" customHeight="false" outlineLevel="0" collapsed="false">
      <c r="A14" s="13" t="n">
        <v>9</v>
      </c>
      <c r="B14" s="26" t="s">
        <v>188</v>
      </c>
      <c r="C14" s="26" t="s">
        <v>157</v>
      </c>
      <c r="D14" s="27" t="s">
        <v>79</v>
      </c>
      <c r="E14" s="26" t="s">
        <v>141</v>
      </c>
      <c r="F14" s="26" t="s">
        <v>189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190</v>
      </c>
      <c r="M14" s="27" t="s">
        <v>68</v>
      </c>
      <c r="N14" s="27" t="s">
        <v>153</v>
      </c>
      <c r="O14" s="19" t="n">
        <v>0</v>
      </c>
      <c r="P14" s="19"/>
      <c r="Q14" s="27" t="s">
        <v>99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20400</v>
      </c>
      <c r="AC14" s="21" t="n">
        <f aca="false">K14*INDEX(Assumptions!$C$37:$C$38,MATCH(Q14,Assumptions!$B$37:$B$38,0))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3" t="n">
        <f aca="false">IFERROR(K14/H14,0)</f>
        <v>0.111111111111111</v>
      </c>
      <c r="AG14" s="23" t="n">
        <f aca="false">IFERROR((K14-AB14-AC14)/H14,0)</f>
        <v>0.0322222222222222</v>
      </c>
      <c r="AH14" s="26" t="s">
        <v>191</v>
      </c>
      <c r="AI14" s="13" t="n">
        <v>214</v>
      </c>
      <c r="AJ14" s="26" t="s">
        <v>192</v>
      </c>
      <c r="AK14" s="33" t="s">
        <v>147</v>
      </c>
    </row>
    <row r="15" customFormat="false" ht="46.25" hidden="false" customHeight="false" outlineLevel="0" collapsed="false">
      <c r="A15" s="34" t="n">
        <v>10</v>
      </c>
      <c r="B15" s="35" t="s">
        <v>193</v>
      </c>
      <c r="C15" s="35" t="s">
        <v>194</v>
      </c>
      <c r="D15" s="36" t="s">
        <v>81</v>
      </c>
      <c r="E15" s="35" t="s">
        <v>195</v>
      </c>
      <c r="F15" s="35" t="s">
        <v>196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197</v>
      </c>
      <c r="M15" s="36" t="s">
        <v>74</v>
      </c>
      <c r="N15" s="36" t="s">
        <v>153</v>
      </c>
      <c r="O15" s="37" t="n">
        <v>0</v>
      </c>
      <c r="P15" s="37"/>
      <c r="Q15" s="36" t="s">
        <v>101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23520</v>
      </c>
      <c r="AC15" s="40" t="n">
        <f aca="false">K15*INDEX(Assumptions!$C$37:$C$38,MATCH(Q15,Assumptions!$B$37:$B$38,0))</f>
        <v>12240</v>
      </c>
      <c r="AD15" s="40" t="n">
        <f aca="false">K15-AB15-W15*12</f>
        <v>20423.2082906875</v>
      </c>
      <c r="AE15" s="40" t="n">
        <f aca="false">AD15-AC15</f>
        <v>8183.20829068749</v>
      </c>
      <c r="AF15" s="43" t="n">
        <f aca="false">IFERROR(K15/H15,0)</f>
        <v>0.155725190839695</v>
      </c>
      <c r="AG15" s="43" t="n">
        <f aca="false">IFERROR((K15-AB15-AC15)/H15,0)</f>
        <v>0.101129770992366</v>
      </c>
      <c r="AH15" s="35" t="s">
        <v>198</v>
      </c>
      <c r="AI15" s="34" t="n">
        <v>5</v>
      </c>
      <c r="AJ15" s="35" t="s">
        <v>199</v>
      </c>
      <c r="AK15" s="44" t="s">
        <v>147</v>
      </c>
    </row>
    <row r="16" customFormat="false" ht="23.85" hidden="false" customHeight="false" outlineLevel="0" collapsed="false">
      <c r="A16" s="13" t="n">
        <v>11</v>
      </c>
      <c r="B16" s="26" t="s">
        <v>200</v>
      </c>
      <c r="C16" s="26" t="s">
        <v>201</v>
      </c>
      <c r="D16" s="27" t="s">
        <v>79</v>
      </c>
      <c r="E16" s="26" t="s">
        <v>202</v>
      </c>
      <c r="F16" s="26" t="s">
        <v>203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204</v>
      </c>
      <c r="M16" s="27" t="s">
        <v>74</v>
      </c>
      <c r="N16" s="27" t="s">
        <v>153</v>
      </c>
      <c r="O16" s="19" t="n">
        <v>477</v>
      </c>
      <c r="P16" s="19"/>
      <c r="Q16" s="27" t="s">
        <v>99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21720</v>
      </c>
      <c r="AC16" s="21" t="n">
        <f aca="false">K16*INDEX(Assumptions!$C$37:$C$38,MATCH(Q16,Assumptions!$B$37:$B$38,0))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3" t="n">
        <f aca="false">IFERROR(K16/H16,0)</f>
        <v>0.157706093189964</v>
      </c>
      <c r="AG16" s="23" t="n">
        <f aca="false">IFERROR((K16-AB16-AC16)/H16,0)</f>
        <v>0.0483154121863799</v>
      </c>
      <c r="AH16" s="26"/>
      <c r="AI16" s="13" t="n">
        <v>55</v>
      </c>
      <c r="AJ16" s="26" t="s">
        <v>205</v>
      </c>
      <c r="AK16" s="33" t="s">
        <v>147</v>
      </c>
    </row>
    <row r="17" customFormat="false" ht="23.85" hidden="false" customHeight="false" outlineLevel="0" collapsed="false">
      <c r="A17" s="34" t="n">
        <v>12</v>
      </c>
      <c r="B17" s="35" t="s">
        <v>206</v>
      </c>
      <c r="C17" s="35" t="s">
        <v>207</v>
      </c>
      <c r="D17" s="36" t="s">
        <v>81</v>
      </c>
      <c r="E17" s="35" t="s">
        <v>208</v>
      </c>
      <c r="F17" s="35" t="s">
        <v>209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210</v>
      </c>
      <c r="M17" s="36" t="s">
        <v>70</v>
      </c>
      <c r="N17" s="36" t="s">
        <v>153</v>
      </c>
      <c r="O17" s="37" t="n">
        <v>945</v>
      </c>
      <c r="P17" s="37"/>
      <c r="Q17" s="36" t="s">
        <v>99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23700</v>
      </c>
      <c r="AC17" s="40" t="n">
        <f aca="false">K17*INDEX(Assumptions!$C$37:$C$38,MATCH(Q17,Assumptions!$B$37:$B$38,0))</f>
        <v>10000</v>
      </c>
      <c r="AD17" s="40" t="n">
        <f aca="false">K17-AB17-W17*12</f>
        <v>-44398.4578660316</v>
      </c>
      <c r="AE17" s="40" t="n">
        <f aca="false">AD17-AC17</f>
        <v>-54398.4578660316</v>
      </c>
      <c r="AF17" s="43" t="n">
        <f aca="false">IFERROR(K17/H17,0)</f>
        <v>0.0782472613458529</v>
      </c>
      <c r="AG17" s="43" t="n">
        <f aca="false">IFERROR((K17-AB17-AC17)/H17,0)</f>
        <v>0.025508607198748</v>
      </c>
      <c r="AH17" s="35"/>
      <c r="AI17" s="34" t="n">
        <v>27</v>
      </c>
      <c r="AJ17" s="35" t="s">
        <v>211</v>
      </c>
      <c r="AK17" s="44" t="s">
        <v>147</v>
      </c>
    </row>
    <row r="20" customFormat="false" ht="15" hidden="false" customHeight="false" outlineLevel="0" collapsed="false">
      <c r="A20" s="10" t="s">
        <v>212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213</v>
      </c>
      <c r="L21" s="3" t="s">
        <v>214</v>
      </c>
      <c r="AJ21" s="3" t="s">
        <v>215</v>
      </c>
      <c r="AK21" s="3" t="s">
        <v>216</v>
      </c>
    </row>
    <row r="22" customFormat="false" ht="35.05" hidden="false" customHeight="false" outlineLevel="0" collapsed="false">
      <c r="B22" s="26" t="s">
        <v>217</v>
      </c>
      <c r="C22" s="26" t="s">
        <v>140</v>
      </c>
      <c r="G22" s="19" t="n">
        <v>619000</v>
      </c>
      <c r="L22" s="26" t="s">
        <v>218</v>
      </c>
      <c r="AJ22" s="26" t="s">
        <v>219</v>
      </c>
      <c r="AK22" s="33" t="s">
        <v>147</v>
      </c>
    </row>
    <row r="23" customFormat="false" ht="23.85" hidden="false" customHeight="false" outlineLevel="0" collapsed="false">
      <c r="B23" s="26" t="s">
        <v>220</v>
      </c>
      <c r="C23" s="26" t="s">
        <v>221</v>
      </c>
      <c r="G23" s="19" t="n">
        <v>524900</v>
      </c>
      <c r="L23" s="26" t="s">
        <v>222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223</v>
      </c>
      <c r="C24" s="26" t="s">
        <v>157</v>
      </c>
      <c r="G24" s="19" t="n">
        <v>499000</v>
      </c>
      <c r="L24" s="26" t="s">
        <v>224</v>
      </c>
      <c r="AJ24" s="26" t="s">
        <v>219</v>
      </c>
      <c r="AK24" s="33" t="s">
        <v>147</v>
      </c>
    </row>
    <row r="25" customFormat="false" ht="23.85" hidden="false" customHeight="false" outlineLevel="0" collapsed="false">
      <c r="B25" s="26" t="s">
        <v>225</v>
      </c>
      <c r="C25" s="26" t="s">
        <v>140</v>
      </c>
      <c r="G25" s="19" t="n">
        <v>450000</v>
      </c>
      <c r="L25" s="26" t="s">
        <v>226</v>
      </c>
      <c r="AJ25" s="26" t="s">
        <v>219</v>
      </c>
      <c r="AK25" s="33" t="s">
        <v>147</v>
      </c>
    </row>
    <row r="26" customFormat="false" ht="35.05" hidden="false" customHeight="false" outlineLevel="0" collapsed="false">
      <c r="B26" s="26" t="s">
        <v>227</v>
      </c>
      <c r="C26" s="26" t="s">
        <v>157</v>
      </c>
      <c r="G26" s="19" t="n">
        <v>625000</v>
      </c>
      <c r="L26" s="26" t="s">
        <v>228</v>
      </c>
      <c r="AJ26" s="26" t="s">
        <v>219</v>
      </c>
      <c r="AK26" s="33" t="s">
        <v>147</v>
      </c>
    </row>
    <row r="27" customFormat="false" ht="35.05" hidden="false" customHeight="false" outlineLevel="0" collapsed="false">
      <c r="B27" s="26" t="s">
        <v>229</v>
      </c>
      <c r="C27" s="26" t="s">
        <v>230</v>
      </c>
      <c r="G27" s="19" t="n">
        <v>419999</v>
      </c>
      <c r="L27" s="26" t="s">
        <v>231</v>
      </c>
      <c r="AJ27" s="26" t="s">
        <v>219</v>
      </c>
      <c r="AK27" s="33" t="s">
        <v>147</v>
      </c>
    </row>
    <row r="28" customFormat="false" ht="23.85" hidden="false" customHeight="false" outlineLevel="0" collapsed="false">
      <c r="B28" s="26" t="s">
        <v>232</v>
      </c>
      <c r="C28" s="26" t="s">
        <v>233</v>
      </c>
      <c r="G28" s="19" t="n">
        <v>374900</v>
      </c>
      <c r="L28" s="26" t="s">
        <v>234</v>
      </c>
      <c r="AJ28" s="26" t="s">
        <v>219</v>
      </c>
      <c r="AK28" s="33" t="s">
        <v>147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237</v>
      </c>
      <c r="C6" s="26" t="s">
        <v>238</v>
      </c>
      <c r="D6" s="27" t="s">
        <v>18</v>
      </c>
      <c r="E6" s="26" t="s">
        <v>141</v>
      </c>
      <c r="F6" s="26" t="s">
        <v>239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240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32430</v>
      </c>
      <c r="AC6" s="21" t="n">
        <f aca="false">K6*INDEX(Assumptions!$C$37:$C$38,MATCH(Q6,Assumptions!$B$37:$B$38,0))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3" t="n">
        <f aca="false">IFERROR(K6/H6,0)</f>
        <v>0.14639175257732</v>
      </c>
      <c r="AG6" s="23" t="n">
        <f aca="false">IFERROR((K6-AB6-AC6)/H6,0)</f>
        <v>0.0502474226804124</v>
      </c>
      <c r="AH6" s="26"/>
      <c r="AI6" s="13" t="n">
        <v>29</v>
      </c>
      <c r="AJ6" s="26" t="s">
        <v>241</v>
      </c>
      <c r="AK6" s="33" t="s">
        <v>147</v>
      </c>
    </row>
    <row r="7" customFormat="false" ht="46.25" hidden="false" customHeight="false" outlineLevel="0" collapsed="false">
      <c r="A7" s="34" t="n">
        <v>2</v>
      </c>
      <c r="B7" s="35" t="s">
        <v>242</v>
      </c>
      <c r="C7" s="35" t="s">
        <v>243</v>
      </c>
      <c r="D7" s="36" t="s">
        <v>18</v>
      </c>
      <c r="E7" s="35" t="s">
        <v>141</v>
      </c>
      <c r="F7" s="35" t="s">
        <v>244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245</v>
      </c>
      <c r="M7" s="36" t="s">
        <v>74</v>
      </c>
      <c r="N7" s="36" t="s">
        <v>144</v>
      </c>
      <c r="O7" s="37" t="n">
        <v>0</v>
      </c>
      <c r="P7" s="37"/>
      <c r="Q7" s="36" t="s">
        <v>99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37050</v>
      </c>
      <c r="AC7" s="40" t="n">
        <f aca="false">K7*INDEX(Assumptions!$C$37:$C$38,MATCH(Q7,Assumptions!$B$37:$B$38,0))</f>
        <v>17000</v>
      </c>
      <c r="AD7" s="40" t="n">
        <f aca="false">K7-AB7-W7*12</f>
        <v>1413.00537554723</v>
      </c>
      <c r="AE7" s="40" t="n">
        <f aca="false">AD7-AC7</f>
        <v>-15586.9946244528</v>
      </c>
      <c r="AF7" s="43" t="n">
        <f aca="false">IFERROR(K7/H7,0)</f>
        <v>0.175257731958763</v>
      </c>
      <c r="AG7" s="43" t="n">
        <f aca="false">IFERROR((K7-AB7-AC7)/H7,0)</f>
        <v>0.0638144329896907</v>
      </c>
      <c r="AH7" s="35"/>
      <c r="AI7" s="34" t="n">
        <v>18</v>
      </c>
      <c r="AJ7" s="35" t="s">
        <v>246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247</v>
      </c>
      <c r="C8" s="26" t="s">
        <v>248</v>
      </c>
      <c r="D8" s="27" t="s">
        <v>18</v>
      </c>
      <c r="E8" s="26" t="s">
        <v>141</v>
      </c>
      <c r="F8" s="26" t="s">
        <v>249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250</v>
      </c>
      <c r="M8" s="27" t="s">
        <v>74</v>
      </c>
      <c r="N8" s="27" t="s">
        <v>153</v>
      </c>
      <c r="O8" s="19" t="n">
        <v>0</v>
      </c>
      <c r="P8" s="19"/>
      <c r="Q8" s="27" t="s">
        <v>99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24030</v>
      </c>
      <c r="AC8" s="21" t="n">
        <f aca="false">K8*INDEX(Assumptions!$C$37:$C$38,MATCH(Q8,Assumptions!$B$37:$B$38,0))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3" t="n">
        <f aca="false">IFERROR(K8/H8,0)</f>
        <v>0.15</v>
      </c>
      <c r="AG8" s="23" t="n">
        <f aca="false">IFERROR((K8-AB8-AC8)/H8,0)</f>
        <v>0.0493235294117647</v>
      </c>
      <c r="AH8" s="26"/>
      <c r="AI8" s="13" t="n">
        <v>257</v>
      </c>
      <c r="AJ8" s="26" t="s">
        <v>251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252</v>
      </c>
      <c r="C9" s="35" t="s">
        <v>253</v>
      </c>
      <c r="D9" s="36" t="s">
        <v>18</v>
      </c>
      <c r="E9" s="35" t="s">
        <v>202</v>
      </c>
      <c r="F9" s="35" t="s">
        <v>254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255</v>
      </c>
      <c r="M9" s="36" t="s">
        <v>70</v>
      </c>
      <c r="N9" s="36" t="s">
        <v>153</v>
      </c>
      <c r="O9" s="37" t="n">
        <v>961</v>
      </c>
      <c r="P9" s="37"/>
      <c r="Q9" s="36" t="s">
        <v>99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31950</v>
      </c>
      <c r="AC9" s="40" t="n">
        <f aca="false">K9*INDEX(Assumptions!$C$37:$C$38,MATCH(Q9,Assumptions!$B$37:$B$38,0))</f>
        <v>15000</v>
      </c>
      <c r="AD9" s="40" t="n">
        <f aca="false">K9-AB9-W9*12</f>
        <v>-29515.3537312367</v>
      </c>
      <c r="AE9" s="40" t="n">
        <f aca="false">AD9-AC9</f>
        <v>-44515.3537312367</v>
      </c>
      <c r="AF9" s="43" t="n">
        <f aca="false">IFERROR(K9/H9,0)</f>
        <v>0.1171875</v>
      </c>
      <c r="AG9" s="43" t="n">
        <f aca="false">IFERROR((K9-AB9-AC9)/H9,0)</f>
        <v>0.043828125</v>
      </c>
      <c r="AH9" s="35"/>
      <c r="AI9" s="34" t="n">
        <v>36</v>
      </c>
      <c r="AJ9" s="35" t="s">
        <v>256</v>
      </c>
      <c r="AK9" s="44" t="s">
        <v>147</v>
      </c>
    </row>
    <row r="10" customFormat="false" ht="23.85" hidden="false" customHeight="false" outlineLevel="0" collapsed="false">
      <c r="A10" s="13" t="n">
        <v>5</v>
      </c>
      <c r="B10" s="26" t="s">
        <v>257</v>
      </c>
      <c r="C10" s="26" t="s">
        <v>253</v>
      </c>
      <c r="D10" s="27" t="s">
        <v>18</v>
      </c>
      <c r="E10" s="26" t="s">
        <v>202</v>
      </c>
      <c r="F10" s="26" t="s">
        <v>258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259</v>
      </c>
      <c r="M10" s="27" t="s">
        <v>70</v>
      </c>
      <c r="N10" s="27" t="s">
        <v>153</v>
      </c>
      <c r="O10" s="19" t="n">
        <v>630</v>
      </c>
      <c r="P10" s="19"/>
      <c r="Q10" s="27" t="s">
        <v>99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26670</v>
      </c>
      <c r="AC10" s="21" t="n">
        <f aca="false">K10*INDEX(Assumptions!$C$37:$C$38,MATCH(Q10,Assumptions!$B$37:$B$38,0))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3" t="n">
        <f aca="false">IFERROR(K10/H10,0)</f>
        <v>0.105357142857143</v>
      </c>
      <c r="AG10" s="23" t="n">
        <f aca="false">IFERROR((K10-AB10-AC10)/H10,0)</f>
        <v>0.0366607142857143</v>
      </c>
      <c r="AH10" s="26"/>
      <c r="AI10" s="13" t="n">
        <v>18</v>
      </c>
      <c r="AJ10" s="26" t="s">
        <v>260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261</v>
      </c>
      <c r="C11" s="35" t="s">
        <v>262</v>
      </c>
      <c r="D11" s="36" t="s">
        <v>18</v>
      </c>
      <c r="E11" s="35" t="s">
        <v>208</v>
      </c>
      <c r="F11" s="35" t="s">
        <v>263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264</v>
      </c>
      <c r="M11" s="36" t="s">
        <v>72</v>
      </c>
      <c r="N11" s="36" t="s">
        <v>153</v>
      </c>
      <c r="O11" s="37" t="n">
        <v>835</v>
      </c>
      <c r="P11" s="37"/>
      <c r="Q11" s="36" t="s">
        <v>101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14862.4</v>
      </c>
      <c r="AC11" s="40" t="n">
        <f aca="false">K11*INDEX(Assumptions!$C$37:$C$38,MATCH(Q11,Assumptions!$B$37:$B$38,0))</f>
        <v>5746.8</v>
      </c>
      <c r="AD11" s="40" t="n">
        <f aca="false">K11-AB11-W11*12</f>
        <v>-38655.9604709838</v>
      </c>
      <c r="AE11" s="40" t="n">
        <f aca="false">AD11-AC11</f>
        <v>-44402.7604709838</v>
      </c>
      <c r="AF11" s="43" t="n">
        <f aca="false">IFERROR(K11/H11,0)</f>
        <v>0.0811694915254237</v>
      </c>
      <c r="AG11" s="43" t="n">
        <f aca="false">IFERROR((K11-AB11-AC11)/H11,0)</f>
        <v>0.0462386440677966</v>
      </c>
      <c r="AH11" s="35"/>
      <c r="AI11" s="34" t="n">
        <v>152</v>
      </c>
      <c r="AJ11" s="35" t="s">
        <v>265</v>
      </c>
      <c r="AK11" s="44" t="s">
        <v>147</v>
      </c>
    </row>
    <row r="12" customFormat="false" ht="35.05" hidden="false" customHeight="false" outlineLevel="0" collapsed="false">
      <c r="A12" s="13" t="n">
        <v>7</v>
      </c>
      <c r="B12" s="26" t="s">
        <v>266</v>
      </c>
      <c r="C12" s="26" t="s">
        <v>267</v>
      </c>
      <c r="D12" s="27" t="s">
        <v>18</v>
      </c>
      <c r="E12" s="26" t="s">
        <v>202</v>
      </c>
      <c r="F12" s="26" t="s">
        <v>268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269</v>
      </c>
      <c r="M12" s="27" t="s">
        <v>70</v>
      </c>
      <c r="N12" s="27" t="s">
        <v>153</v>
      </c>
      <c r="O12" s="19" t="n">
        <v>1325</v>
      </c>
      <c r="P12" s="19"/>
      <c r="Q12" s="27" t="s">
        <v>99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23700</v>
      </c>
      <c r="AC12" s="21" t="n">
        <f aca="false">K12*INDEX(Assumptions!$C$37:$C$38,MATCH(Q12,Assumptions!$B$37:$B$38,0))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3" t="n">
        <f aca="false">IFERROR(K12/H12,0)</f>
        <v>0.0715307582260372</v>
      </c>
      <c r="AG12" s="23" t="n">
        <f aca="false">IFERROR((K12-AB12-AC12)/H12,0)</f>
        <v>0.0233190271816881</v>
      </c>
      <c r="AH12" s="26"/>
      <c r="AI12" s="13" t="n">
        <v>7</v>
      </c>
      <c r="AJ12" s="26" t="s">
        <v>270</v>
      </c>
      <c r="AK12" s="33" t="s">
        <v>147</v>
      </c>
    </row>
    <row r="15" customFormat="false" ht="15" hidden="false" customHeight="false" outlineLevel="0" collapsed="false">
      <c r="A15" s="10" t="s">
        <v>271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213</v>
      </c>
      <c r="L16" s="3" t="s">
        <v>214</v>
      </c>
      <c r="AJ16" s="3" t="s">
        <v>215</v>
      </c>
      <c r="AK16" s="3" t="s">
        <v>216</v>
      </c>
    </row>
    <row r="17" customFormat="false" ht="35.05" hidden="false" customHeight="false" outlineLevel="0" collapsed="false">
      <c r="B17" s="26" t="s">
        <v>272</v>
      </c>
      <c r="C17" s="26" t="s">
        <v>273</v>
      </c>
      <c r="G17" s="19" t="n">
        <v>699000</v>
      </c>
      <c r="L17" s="26" t="s">
        <v>274</v>
      </c>
      <c r="AJ17" s="26" t="s">
        <v>219</v>
      </c>
      <c r="AK17" s="33" t="s">
        <v>147</v>
      </c>
    </row>
    <row r="18" customFormat="false" ht="35.05" hidden="false" customHeight="false" outlineLevel="0" collapsed="false">
      <c r="B18" s="26" t="s">
        <v>275</v>
      </c>
      <c r="C18" s="26" t="s">
        <v>276</v>
      </c>
      <c r="G18" s="19" t="n">
        <v>629000</v>
      </c>
      <c r="L18" s="26" t="s">
        <v>277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278</v>
      </c>
      <c r="C19" s="26" t="s">
        <v>279</v>
      </c>
      <c r="G19" s="19" t="n">
        <v>575000</v>
      </c>
      <c r="L19" s="26" t="s">
        <v>280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281</v>
      </c>
      <c r="C20" s="26" t="s">
        <v>273</v>
      </c>
      <c r="G20" s="19" t="n">
        <v>599000</v>
      </c>
      <c r="L20" s="26" t="s">
        <v>282</v>
      </c>
      <c r="AJ20" s="26" t="s">
        <v>219</v>
      </c>
      <c r="AK20" s="33" t="s">
        <v>147</v>
      </c>
    </row>
    <row r="21" customFormat="false" ht="35.05" hidden="false" customHeight="false" outlineLevel="0" collapsed="false">
      <c r="B21" s="26" t="s">
        <v>283</v>
      </c>
      <c r="C21" s="26" t="s">
        <v>284</v>
      </c>
      <c r="G21" s="19" t="n">
        <v>550000</v>
      </c>
      <c r="L21" s="26" t="s">
        <v>285</v>
      </c>
      <c r="AJ21" s="26" t="s">
        <v>219</v>
      </c>
      <c r="AK21" s="33" t="s">
        <v>147</v>
      </c>
    </row>
    <row r="22" customFormat="false" ht="23.85" hidden="false" customHeight="false" outlineLevel="0" collapsed="false">
      <c r="B22" s="26" t="s">
        <v>286</v>
      </c>
      <c r="C22" s="26" t="s">
        <v>287</v>
      </c>
      <c r="G22" s="19" t="n">
        <v>425000</v>
      </c>
      <c r="L22" s="26" t="s">
        <v>288</v>
      </c>
      <c r="AJ22" s="26" t="s">
        <v>219</v>
      </c>
      <c r="AK22" s="33" t="s">
        <v>147</v>
      </c>
    </row>
    <row r="23" customFormat="false" ht="35.05" hidden="false" customHeight="false" outlineLevel="0" collapsed="false">
      <c r="B23" s="26" t="s">
        <v>289</v>
      </c>
      <c r="C23" s="26" t="s">
        <v>290</v>
      </c>
      <c r="G23" s="19" t="n">
        <v>550000</v>
      </c>
      <c r="L23" s="26" t="s">
        <v>291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292</v>
      </c>
      <c r="C24" s="26" t="s">
        <v>293</v>
      </c>
      <c r="G24" s="19" t="n">
        <v>524900</v>
      </c>
      <c r="L24" s="26" t="s">
        <v>294</v>
      </c>
      <c r="AJ24" s="26" t="s">
        <v>219</v>
      </c>
      <c r="AK24" s="33" t="s">
        <v>147</v>
      </c>
    </row>
    <row r="25" customFormat="false" ht="35.05" hidden="false" customHeight="false" outlineLevel="0" collapsed="false">
      <c r="B25" s="26" t="s">
        <v>295</v>
      </c>
      <c r="C25" s="26" t="s">
        <v>296</v>
      </c>
      <c r="G25" s="19" t="n">
        <v>490000</v>
      </c>
      <c r="L25" s="26" t="s">
        <v>297</v>
      </c>
      <c r="AJ25" s="26" t="s">
        <v>219</v>
      </c>
      <c r="AK25" s="33" t="s">
        <v>147</v>
      </c>
    </row>
    <row r="26" customFormat="false" ht="23.85" hidden="false" customHeight="false" outlineLevel="0" collapsed="false">
      <c r="B26" s="26" t="s">
        <v>298</v>
      </c>
      <c r="C26" s="26" t="s">
        <v>296</v>
      </c>
      <c r="G26" s="19" t="n">
        <v>585000</v>
      </c>
      <c r="L26" s="26" t="s">
        <v>299</v>
      </c>
      <c r="AJ26" s="26" t="s">
        <v>219</v>
      </c>
      <c r="AK26" s="33" t="s">
        <v>147</v>
      </c>
    </row>
    <row r="27" customFormat="false" ht="23.85" hidden="false" customHeight="false" outlineLevel="0" collapsed="false">
      <c r="B27" s="26" t="s">
        <v>300</v>
      </c>
      <c r="C27" s="26" t="s">
        <v>287</v>
      </c>
      <c r="G27" s="19" t="n">
        <v>520000</v>
      </c>
      <c r="L27" s="26" t="s">
        <v>301</v>
      </c>
      <c r="AJ27" s="26" t="s">
        <v>219</v>
      </c>
      <c r="AK27" s="33" t="s">
        <v>147</v>
      </c>
    </row>
    <row r="28" customFormat="false" ht="35.05" hidden="false" customHeight="false" outlineLevel="0" collapsed="false">
      <c r="B28" s="26" t="s">
        <v>302</v>
      </c>
      <c r="C28" s="26" t="s">
        <v>303</v>
      </c>
      <c r="G28" s="19" t="n">
        <v>499900</v>
      </c>
      <c r="L28" s="26" t="s">
        <v>304</v>
      </c>
      <c r="AJ28" s="26" t="s">
        <v>219</v>
      </c>
      <c r="AK28" s="33" t="s">
        <v>147</v>
      </c>
    </row>
    <row r="29" customFormat="false" ht="46.25" hidden="false" customHeight="false" outlineLevel="0" collapsed="false">
      <c r="B29" s="26" t="s">
        <v>305</v>
      </c>
      <c r="C29" s="26" t="s">
        <v>306</v>
      </c>
      <c r="G29" s="19" t="n">
        <v>594900</v>
      </c>
      <c r="L29" s="26" t="s">
        <v>307</v>
      </c>
      <c r="AJ29" s="26" t="s">
        <v>219</v>
      </c>
      <c r="AK29" s="33" t="s">
        <v>147</v>
      </c>
    </row>
    <row r="30" customFormat="false" ht="35.05" hidden="false" customHeight="false" outlineLevel="0" collapsed="false">
      <c r="B30" s="26" t="s">
        <v>308</v>
      </c>
      <c r="C30" s="26" t="s">
        <v>309</v>
      </c>
      <c r="G30" s="19" t="n">
        <v>349900</v>
      </c>
      <c r="L30" s="26" t="s">
        <v>310</v>
      </c>
      <c r="AJ30" s="26" t="s">
        <v>219</v>
      </c>
      <c r="AK30" s="33" t="s">
        <v>147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6" t="s">
        <v>313</v>
      </c>
      <c r="C6" s="26" t="s">
        <v>314</v>
      </c>
      <c r="D6" s="27" t="s">
        <v>84</v>
      </c>
      <c r="E6" s="26" t="s">
        <v>141</v>
      </c>
      <c r="F6" s="26" t="s">
        <v>315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316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28800</v>
      </c>
      <c r="AC6" s="21" t="n">
        <f aca="false">K6*INDEX(Assumptions!$C$37:$C$38,MATCH(Q6,Assumptions!$B$37:$B$38,0))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3" t="n">
        <f aca="false">IFERROR(K6/H6,0)</f>
        <v>0.130434782608696</v>
      </c>
      <c r="AG6" s="23" t="n">
        <f aca="false">IFERROR((K6-AB6-AC6)/H6,0)</f>
        <v>0.0417391304347826</v>
      </c>
      <c r="AH6" s="26"/>
      <c r="AI6" s="13" t="n">
        <v>14</v>
      </c>
      <c r="AJ6" s="26" t="s">
        <v>317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318</v>
      </c>
      <c r="C7" s="35" t="s">
        <v>319</v>
      </c>
      <c r="D7" s="36" t="s">
        <v>84</v>
      </c>
      <c r="E7" s="35" t="s">
        <v>208</v>
      </c>
      <c r="F7" s="35" t="s">
        <v>320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321</v>
      </c>
      <c r="M7" s="36" t="s">
        <v>70</v>
      </c>
      <c r="N7" s="36" t="s">
        <v>153</v>
      </c>
      <c r="O7" s="37" t="n">
        <v>583</v>
      </c>
      <c r="P7" s="37"/>
      <c r="Q7" s="36" t="s">
        <v>99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27000</v>
      </c>
      <c r="AC7" s="40" t="n">
        <f aca="false">K7*INDEX(Assumptions!$C$37:$C$38,MATCH(Q7,Assumptions!$B$37:$B$38,0))</f>
        <v>12000</v>
      </c>
      <c r="AD7" s="40" t="n">
        <f aca="false">K7-AB7-W7*12</f>
        <v>-31741.7208844633</v>
      </c>
      <c r="AE7" s="40" t="n">
        <f aca="false">AD7-AC7</f>
        <v>-43741.7208844633</v>
      </c>
      <c r="AF7" s="43" t="n">
        <f aca="false">IFERROR(K7/H7,0)</f>
        <v>0.101712154602475</v>
      </c>
      <c r="AG7" s="43" t="n">
        <f aca="false">IFERROR((K7-AB7-AC7)/H7,0)</f>
        <v>0.0355992541108663</v>
      </c>
      <c r="AH7" s="35"/>
      <c r="AI7" s="34" t="n">
        <v>23</v>
      </c>
      <c r="AJ7" s="35" t="s">
        <v>322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323</v>
      </c>
      <c r="C8" s="26" t="s">
        <v>324</v>
      </c>
      <c r="D8" s="27" t="s">
        <v>86</v>
      </c>
      <c r="E8" s="26" t="s">
        <v>208</v>
      </c>
      <c r="F8" s="26" t="s">
        <v>325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326</v>
      </c>
      <c r="M8" s="27" t="s">
        <v>74</v>
      </c>
      <c r="N8" s="27" t="s">
        <v>153</v>
      </c>
      <c r="O8" s="19" t="n">
        <v>520</v>
      </c>
      <c r="P8" s="19"/>
      <c r="Q8" s="27" t="s">
        <v>101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11880</v>
      </c>
      <c r="AC8" s="21" t="n">
        <f aca="false">K8*INDEX(Assumptions!$C$37:$C$38,MATCH(Q8,Assumptions!$B$37:$B$38,0))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3" t="n">
        <f aca="false">IFERROR(K8/H8,0)</f>
        <v>0.055188679245283</v>
      </c>
      <c r="AG8" s="23" t="n">
        <f aca="false">IFERROR((K8-AB8-AC8)/H8,0)</f>
        <v>0.0261509433962264</v>
      </c>
      <c r="AH8" s="26"/>
      <c r="AI8" s="13" t="n">
        <v>126</v>
      </c>
      <c r="AJ8" s="26" t="s">
        <v>327</v>
      </c>
      <c r="AK8" s="33" t="s">
        <v>147</v>
      </c>
    </row>
    <row r="11" customFormat="false" ht="15" hidden="false" customHeight="false" outlineLevel="0" collapsed="false">
      <c r="A11" s="10" t="s">
        <v>328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213</v>
      </c>
      <c r="L12" s="3" t="s">
        <v>214</v>
      </c>
      <c r="AJ12" s="3" t="s">
        <v>215</v>
      </c>
      <c r="AK12" s="3" t="s">
        <v>216</v>
      </c>
    </row>
    <row r="13" customFormat="false" ht="35.05" hidden="false" customHeight="false" outlineLevel="0" collapsed="false">
      <c r="B13" s="26" t="s">
        <v>329</v>
      </c>
      <c r="C13" s="26" t="s">
        <v>330</v>
      </c>
      <c r="G13" s="19" t="n">
        <v>599000</v>
      </c>
      <c r="L13" s="26" t="s">
        <v>331</v>
      </c>
      <c r="AJ13" s="26" t="s">
        <v>219</v>
      </c>
      <c r="AK13" s="33" t="s">
        <v>147</v>
      </c>
    </row>
    <row r="14" customFormat="false" ht="23.85" hidden="false" customHeight="false" outlineLevel="0" collapsed="false">
      <c r="B14" s="26" t="s">
        <v>332</v>
      </c>
      <c r="C14" s="26" t="s">
        <v>333</v>
      </c>
      <c r="G14" s="19" t="n">
        <v>542500</v>
      </c>
      <c r="L14" s="26" t="s">
        <v>334</v>
      </c>
      <c r="AJ14" s="26" t="s">
        <v>219</v>
      </c>
      <c r="AK14" s="33" t="s">
        <v>147</v>
      </c>
    </row>
    <row r="15" customFormat="false" ht="35.05" hidden="false" customHeight="false" outlineLevel="0" collapsed="false">
      <c r="B15" s="26" t="s">
        <v>335</v>
      </c>
      <c r="C15" s="26" t="s">
        <v>330</v>
      </c>
      <c r="G15" s="19" t="n">
        <v>599900</v>
      </c>
      <c r="L15" s="26" t="s">
        <v>336</v>
      </c>
      <c r="AJ15" s="26" t="s">
        <v>219</v>
      </c>
      <c r="AK15" s="33" t="s">
        <v>147</v>
      </c>
    </row>
    <row r="16" customFormat="false" ht="35.05" hidden="false" customHeight="false" outlineLevel="0" collapsed="false">
      <c r="B16" s="26" t="s">
        <v>337</v>
      </c>
      <c r="C16" s="26" t="s">
        <v>330</v>
      </c>
      <c r="G16" s="19" t="n">
        <v>659900</v>
      </c>
      <c r="L16" s="26" t="s">
        <v>338</v>
      </c>
      <c r="AJ16" s="26" t="s">
        <v>219</v>
      </c>
      <c r="AK16" s="33" t="s">
        <v>147</v>
      </c>
    </row>
    <row r="17" customFormat="false" ht="15" hidden="false" customHeight="false" outlineLevel="0" collapsed="false">
      <c r="B17" s="26" t="s">
        <v>339</v>
      </c>
      <c r="C17" s="26" t="s">
        <v>333</v>
      </c>
      <c r="G17" s="19" t="n">
        <v>390000</v>
      </c>
      <c r="L17" s="26" t="s">
        <v>340</v>
      </c>
      <c r="AJ17" s="26" t="s">
        <v>219</v>
      </c>
      <c r="AK17" s="33" t="s">
        <v>147</v>
      </c>
    </row>
    <row r="18" customFormat="false" ht="23.85" hidden="false" customHeight="false" outlineLevel="0" collapsed="false">
      <c r="B18" s="26" t="s">
        <v>341</v>
      </c>
      <c r="C18" s="26" t="s">
        <v>342</v>
      </c>
      <c r="G18" s="19" t="n">
        <v>599000</v>
      </c>
      <c r="L18" s="26" t="s">
        <v>343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344</v>
      </c>
      <c r="C19" s="26" t="s">
        <v>345</v>
      </c>
      <c r="G19" s="19" t="n">
        <v>659000</v>
      </c>
      <c r="L19" s="26" t="s">
        <v>346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347</v>
      </c>
      <c r="C20" s="26" t="s">
        <v>348</v>
      </c>
      <c r="G20" s="19" t="n">
        <v>449900</v>
      </c>
      <c r="L20" s="26" t="s">
        <v>349</v>
      </c>
      <c r="AJ20" s="26" t="s">
        <v>219</v>
      </c>
      <c r="AK20" s="33" t="s">
        <v>147</v>
      </c>
    </row>
    <row r="21" customFormat="false" ht="23.85" hidden="false" customHeight="false" outlineLevel="0" collapsed="false">
      <c r="B21" s="26" t="s">
        <v>350</v>
      </c>
      <c r="C21" s="26" t="s">
        <v>351</v>
      </c>
      <c r="G21" s="19" t="n">
        <v>665000</v>
      </c>
      <c r="L21" s="26" t="s">
        <v>352</v>
      </c>
      <c r="AJ21" s="26" t="s">
        <v>219</v>
      </c>
      <c r="AK21" s="33" t="s">
        <v>147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Zillow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355</v>
      </c>
      <c r="C6" s="26" t="s">
        <v>356</v>
      </c>
      <c r="D6" s="27" t="s">
        <v>90</v>
      </c>
      <c r="E6" s="26" t="s">
        <v>202</v>
      </c>
      <c r="F6" s="26" t="s">
        <v>357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358</v>
      </c>
      <c r="M6" s="27" t="s">
        <v>70</v>
      </c>
      <c r="N6" s="27" t="s">
        <v>153</v>
      </c>
      <c r="O6" s="19" t="n">
        <v>1200</v>
      </c>
      <c r="P6" s="19" t="n">
        <v>3000</v>
      </c>
      <c r="Q6" s="27" t="s">
        <v>99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39863.4</v>
      </c>
      <c r="AC6" s="21" t="n">
        <f aca="false">K6*INDEX(Assumptions!$C$37:$C$38,MATCH(Q6,Assumptions!$B$37:$B$38,0))</f>
        <v>19796</v>
      </c>
      <c r="AD6" s="21" t="n">
        <f aca="false">K6-AB6-W6*12</f>
        <v>-12164.2575558435</v>
      </c>
      <c r="AE6" s="21" t="n">
        <f aca="false">AD6-AC6</f>
        <v>-31960.2575558435</v>
      </c>
      <c r="AF6" s="23" t="n">
        <f aca="false">IFERROR(K6/H6,0)</f>
        <v>0.130236842105263</v>
      </c>
      <c r="AG6" s="23" t="n">
        <f aca="false">IFERROR((K6-AB6-AC6)/H6,0)</f>
        <v>0.0517376315789474</v>
      </c>
      <c r="AH6" s="26"/>
      <c r="AI6" s="13"/>
      <c r="AJ6" s="26" t="s">
        <v>359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360</v>
      </c>
      <c r="C7" s="35" t="s">
        <v>361</v>
      </c>
      <c r="D7" s="36" t="s">
        <v>90</v>
      </c>
      <c r="E7" s="35" t="s">
        <v>202</v>
      </c>
      <c r="F7" s="35" t="s">
        <v>362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363</v>
      </c>
      <c r="M7" s="36" t="s">
        <v>70</v>
      </c>
      <c r="N7" s="36" t="s">
        <v>153</v>
      </c>
      <c r="O7" s="37" t="n">
        <v>1448</v>
      </c>
      <c r="P7" s="37" t="n">
        <v>3000</v>
      </c>
      <c r="Q7" s="36" t="s">
        <v>99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40200</v>
      </c>
      <c r="AC7" s="40" t="n">
        <f aca="false">K7*INDEX(Assumptions!$C$37:$C$38,MATCH(Q7,Assumptions!$B$37:$B$38,0))</f>
        <v>20000</v>
      </c>
      <c r="AD7" s="40" t="n">
        <f aca="false">K7-AB7-W7*12</f>
        <v>-4885.91575316079</v>
      </c>
      <c r="AE7" s="40" t="n">
        <f aca="false">AD7-AC7</f>
        <v>-24885.9157531608</v>
      </c>
      <c r="AF7" s="43" t="n">
        <f aca="false">IFERROR(K7/H7,0)</f>
        <v>0.16</v>
      </c>
      <c r="AG7" s="43" t="n">
        <f aca="false">IFERROR((K7-AB7-AC7)/H7,0)</f>
        <v>0.06368</v>
      </c>
      <c r="AH7" s="35" t="s">
        <v>364</v>
      </c>
      <c r="AI7" s="34"/>
      <c r="AJ7" s="35" t="s">
        <v>365</v>
      </c>
      <c r="AK7" s="44" t="s">
        <v>147</v>
      </c>
    </row>
    <row r="8" customFormat="false" ht="23.85" hidden="false" customHeight="false" outlineLevel="0" collapsed="false">
      <c r="A8" s="13" t="n">
        <v>3</v>
      </c>
      <c r="B8" s="26" t="s">
        <v>366</v>
      </c>
      <c r="C8" s="26" t="s">
        <v>361</v>
      </c>
      <c r="D8" s="27" t="s">
        <v>90</v>
      </c>
      <c r="E8" s="26" t="s">
        <v>202</v>
      </c>
      <c r="F8" s="26" t="s">
        <v>367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368</v>
      </c>
      <c r="M8" s="27" t="s">
        <v>70</v>
      </c>
      <c r="N8" s="27" t="s">
        <v>153</v>
      </c>
      <c r="O8" s="19" t="n">
        <v>1448</v>
      </c>
      <c r="P8" s="19" t="n">
        <v>3000</v>
      </c>
      <c r="Q8" s="27" t="s">
        <v>99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26336.04</v>
      </c>
      <c r="AC8" s="21" t="n">
        <f aca="false">K8*INDEX(Assumptions!$C$37:$C$38,MATCH(Q8,Assumptions!$B$37:$B$38,0))</f>
        <v>11597.6</v>
      </c>
      <c r="AD8" s="21" t="n">
        <f aca="false">K8-AB8-W8*12</f>
        <v>-36224.2696873884</v>
      </c>
      <c r="AE8" s="21" t="n">
        <f aca="false">AD8-AC8</f>
        <v>-47821.8696873884</v>
      </c>
      <c r="AF8" s="23" t="n">
        <f aca="false">IFERROR(K8/H8,0)</f>
        <v>0.0865492537313433</v>
      </c>
      <c r="AG8" s="23" t="n">
        <f aca="false">IFERROR((K8-AB8-AC8)/H8,0)</f>
        <v>0.0299318805970149</v>
      </c>
      <c r="AH8" s="26"/>
      <c r="AI8" s="13"/>
      <c r="AJ8" s="26" t="s">
        <v>369</v>
      </c>
      <c r="AK8" s="33" t="s">
        <v>147</v>
      </c>
    </row>
    <row r="9" customFormat="false" ht="23.85" hidden="false" customHeight="false" outlineLevel="0" collapsed="false">
      <c r="A9" s="34" t="n">
        <v>4</v>
      </c>
      <c r="B9" s="35" t="s">
        <v>370</v>
      </c>
      <c r="C9" s="35" t="s">
        <v>361</v>
      </c>
      <c r="D9" s="36" t="s">
        <v>90</v>
      </c>
      <c r="E9" s="35" t="s">
        <v>202</v>
      </c>
      <c r="F9" s="35" t="s">
        <v>371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372</v>
      </c>
      <c r="M9" s="36" t="s">
        <v>70</v>
      </c>
      <c r="N9" s="36" t="s">
        <v>153</v>
      </c>
      <c r="O9" s="37" t="n">
        <v>1448</v>
      </c>
      <c r="P9" s="37" t="n">
        <v>3000</v>
      </c>
      <c r="Q9" s="36" t="s">
        <v>99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23370</v>
      </c>
      <c r="AC9" s="40" t="n">
        <f aca="false">K9*INDEX(Assumptions!$C$37:$C$38,MATCH(Q9,Assumptions!$B$37:$B$38,0))</f>
        <v>9800</v>
      </c>
      <c r="AD9" s="40" t="n">
        <f aca="false">K9-AB9-W9*12</f>
        <v>-40828.3123832872</v>
      </c>
      <c r="AE9" s="40" t="n">
        <f aca="false">AD9-AC9</f>
        <v>-50628.3123832872</v>
      </c>
      <c r="AF9" s="43" t="n">
        <f aca="false">IFERROR(K9/H9,0)</f>
        <v>0.0753846153846154</v>
      </c>
      <c r="AG9" s="43" t="n">
        <f aca="false">IFERROR((K9-AB9-AC9)/H9,0)</f>
        <v>0.0243538461538462</v>
      </c>
      <c r="AH9" s="35"/>
      <c r="AI9" s="34"/>
      <c r="AJ9" s="35" t="s">
        <v>373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374</v>
      </c>
      <c r="C10" s="26" t="s">
        <v>375</v>
      </c>
      <c r="D10" s="27" t="s">
        <v>90</v>
      </c>
      <c r="E10" s="26" t="s">
        <v>202</v>
      </c>
      <c r="F10" s="26" t="s">
        <v>376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377</v>
      </c>
      <c r="M10" s="27" t="s">
        <v>70</v>
      </c>
      <c r="N10" s="27" t="s">
        <v>153</v>
      </c>
      <c r="O10" s="19" t="n">
        <v>1404</v>
      </c>
      <c r="P10" s="19" t="n">
        <v>3000</v>
      </c>
      <c r="Q10" s="27" t="s">
        <v>99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40200</v>
      </c>
      <c r="AC10" s="21" t="n">
        <f aca="false">K10*INDEX(Assumptions!$C$37:$C$38,MATCH(Q10,Assumptions!$B$37:$B$38,0))</f>
        <v>20000</v>
      </c>
      <c r="AD10" s="21" t="n">
        <f aca="false">K10-AB10-W10*12</f>
        <v>-16764.6921640458</v>
      </c>
      <c r="AE10" s="21" t="n">
        <f aca="false">AD10-AC10</f>
        <v>-36764.6921640458</v>
      </c>
      <c r="AF10" s="23" t="n">
        <f aca="false">IFERROR(K10/H10,0)</f>
        <v>0.125</v>
      </c>
      <c r="AG10" s="23" t="n">
        <f aca="false">IFERROR((K10-AB10-AC10)/H10,0)</f>
        <v>0.04975</v>
      </c>
      <c r="AH10" s="26" t="s">
        <v>378</v>
      </c>
      <c r="AI10" s="13"/>
      <c r="AJ10" s="26" t="s">
        <v>379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380</v>
      </c>
      <c r="C11" s="35" t="s">
        <v>361</v>
      </c>
      <c r="D11" s="36" t="s">
        <v>90</v>
      </c>
      <c r="E11" s="35" t="s">
        <v>202</v>
      </c>
      <c r="F11" s="35" t="s">
        <v>381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382</v>
      </c>
      <c r="M11" s="36" t="s">
        <v>70</v>
      </c>
      <c r="N11" s="36" t="s">
        <v>153</v>
      </c>
      <c r="O11" s="37" t="n">
        <v>1448</v>
      </c>
      <c r="P11" s="37" t="n">
        <v>3000</v>
      </c>
      <c r="Q11" s="36" t="s">
        <v>99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19740</v>
      </c>
      <c r="AC11" s="40" t="n">
        <f aca="false">K11*INDEX(Assumptions!$C$37:$C$38,MATCH(Q11,Assumptions!$B$37:$B$38,0))</f>
        <v>7600</v>
      </c>
      <c r="AD11" s="40" t="n">
        <f aca="false">K11-AB11-W11*12</f>
        <v>-40045.2878847056</v>
      </c>
      <c r="AE11" s="40" t="n">
        <f aca="false">AD11-AC11</f>
        <v>-47645.2878847056</v>
      </c>
      <c r="AF11" s="43" t="n">
        <f aca="false">IFERROR(K11/H11,0)</f>
        <v>0.0710280373831776</v>
      </c>
      <c r="AG11" s="43" t="n">
        <f aca="false">IFERROR((K11-AB11-AC11)/H11,0)</f>
        <v>0.0199252336448598</v>
      </c>
      <c r="AH11" s="35"/>
      <c r="AI11" s="34" t="n">
        <v>68</v>
      </c>
      <c r="AJ11" s="35" t="s">
        <v>383</v>
      </c>
      <c r="AK11" s="44" t="s">
        <v>147</v>
      </c>
    </row>
    <row r="14" customFormat="false" ht="15" hidden="false" customHeight="false" outlineLevel="0" collapsed="false">
      <c r="A14" s="10" t="s">
        <v>384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213</v>
      </c>
      <c r="L15" s="3" t="s">
        <v>214</v>
      </c>
      <c r="AJ15" s="3" t="s">
        <v>215</v>
      </c>
      <c r="AK15" s="3" t="s">
        <v>216</v>
      </c>
    </row>
    <row r="16" customFormat="false" ht="23.85" hidden="false" customHeight="false" outlineLevel="0" collapsed="false">
      <c r="B16" s="26" t="s">
        <v>385</v>
      </c>
      <c r="C16" s="26" t="s">
        <v>356</v>
      </c>
      <c r="G16" s="19" t="n">
        <v>750000</v>
      </c>
      <c r="L16" s="26" t="s">
        <v>386</v>
      </c>
      <c r="AJ16" s="26" t="s">
        <v>219</v>
      </c>
      <c r="AK16" s="33" t="s">
        <v>387</v>
      </c>
    </row>
    <row r="17" customFormat="false" ht="35.05" hidden="false" customHeight="false" outlineLevel="0" collapsed="false">
      <c r="B17" s="26" t="s">
        <v>388</v>
      </c>
      <c r="C17" s="26" t="s">
        <v>356</v>
      </c>
      <c r="G17" s="19" t="n">
        <v>599888</v>
      </c>
      <c r="L17" s="26" t="s">
        <v>389</v>
      </c>
      <c r="AJ17" s="26" t="s">
        <v>219</v>
      </c>
      <c r="AK17" s="33" t="s">
        <v>387</v>
      </c>
    </row>
    <row r="18" customFormat="false" ht="23.85" hidden="false" customHeight="false" outlineLevel="0" collapsed="false">
      <c r="B18" s="26" t="s">
        <v>390</v>
      </c>
      <c r="C18" s="26" t="s">
        <v>361</v>
      </c>
      <c r="G18" s="19" t="n">
        <v>524900</v>
      </c>
      <c r="L18" s="26" t="s">
        <v>391</v>
      </c>
      <c r="AJ18" s="26" t="s">
        <v>219</v>
      </c>
      <c r="AK18" s="33" t="s">
        <v>387</v>
      </c>
    </row>
    <row r="19" customFormat="false" ht="35.05" hidden="false" customHeight="false" outlineLevel="0" collapsed="false">
      <c r="B19" s="26" t="s">
        <v>392</v>
      </c>
      <c r="C19" s="26" t="s">
        <v>375</v>
      </c>
      <c r="G19" s="19" t="n">
        <v>699000</v>
      </c>
      <c r="L19" s="26" t="s">
        <v>393</v>
      </c>
      <c r="AJ19" s="26" t="s">
        <v>219</v>
      </c>
      <c r="AK19" s="33" t="s">
        <v>387</v>
      </c>
    </row>
    <row r="20" customFormat="false" ht="35.05" hidden="false" customHeight="false" outlineLevel="0" collapsed="false">
      <c r="B20" s="26" t="s">
        <v>394</v>
      </c>
      <c r="C20" s="26" t="s">
        <v>395</v>
      </c>
      <c r="G20" s="19" t="n">
        <v>499000</v>
      </c>
      <c r="L20" s="26" t="s">
        <v>396</v>
      </c>
      <c r="AJ20" s="26" t="s">
        <v>219</v>
      </c>
      <c r="AK20" s="33" t="s">
        <v>387</v>
      </c>
    </row>
    <row r="21" customFormat="false" ht="35.05" hidden="false" customHeight="false" outlineLevel="0" collapsed="false">
      <c r="B21" s="26" t="s">
        <v>397</v>
      </c>
      <c r="C21" s="26" t="s">
        <v>398</v>
      </c>
      <c r="G21" s="19" t="n">
        <v>868000</v>
      </c>
      <c r="L21" s="26" t="s">
        <v>399</v>
      </c>
      <c r="AJ21" s="26" t="s">
        <v>219</v>
      </c>
      <c r="AK21" s="33" t="s">
        <v>387</v>
      </c>
    </row>
    <row r="22" customFormat="false" ht="35.05" hidden="false" customHeight="false" outlineLevel="0" collapsed="false">
      <c r="B22" s="26" t="s">
        <v>400</v>
      </c>
      <c r="C22" s="26" t="s">
        <v>401</v>
      </c>
      <c r="G22" s="19" t="n">
        <v>1049000</v>
      </c>
      <c r="L22" s="26" t="s">
        <v>402</v>
      </c>
      <c r="AJ22" s="26" t="s">
        <v>219</v>
      </c>
      <c r="AK22" s="33" t="s">
        <v>387</v>
      </c>
    </row>
    <row r="23" customFormat="false" ht="35.05" hidden="false" customHeight="false" outlineLevel="0" collapsed="false">
      <c r="B23" s="26" t="s">
        <v>403</v>
      </c>
      <c r="C23" s="26" t="s">
        <v>356</v>
      </c>
      <c r="G23" s="19" t="n">
        <v>955000</v>
      </c>
      <c r="L23" s="26" t="s">
        <v>404</v>
      </c>
      <c r="AJ23" s="26" t="s">
        <v>219</v>
      </c>
      <c r="AK23" s="33" t="s">
        <v>387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42" hidden="false" customHeight="true" outlineLevel="0" collapsed="false">
      <c r="A4" s="3" t="s">
        <v>407</v>
      </c>
      <c r="B4" s="3" t="s">
        <v>408</v>
      </c>
      <c r="C4" s="3" t="s">
        <v>5</v>
      </c>
      <c r="D4" s="3" t="s">
        <v>116</v>
      </c>
      <c r="E4" s="3" t="s">
        <v>409</v>
      </c>
      <c r="F4" s="3" t="s">
        <v>410</v>
      </c>
      <c r="G4" s="3" t="s">
        <v>126</v>
      </c>
      <c r="H4" s="3" t="s">
        <v>127</v>
      </c>
      <c r="I4" s="3" t="s">
        <v>7</v>
      </c>
      <c r="J4" s="3" t="s">
        <v>8</v>
      </c>
      <c r="K4" s="3" t="s">
        <v>411</v>
      </c>
      <c r="L4" s="3" t="s">
        <v>412</v>
      </c>
      <c r="M4" s="3" t="s">
        <v>11</v>
      </c>
      <c r="N4" s="3" t="s">
        <v>12</v>
      </c>
      <c r="O4" s="3" t="s">
        <v>413</v>
      </c>
      <c r="P4" s="3" t="s">
        <v>414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-7039.77197979741</v>
      </c>
      <c r="N5" s="21" t="n">
        <f aca="false">M5-E5*INDEX(Assumptions!$C$37:$C$38,MATCH('Manatee-Sarasota'!$Q$6,Assumptions!$B$37:$B$38,0))</f>
        <v>-24039.7719797974</v>
      </c>
      <c r="O5" s="23" t="n">
        <f aca="false">IFERROR(M5/L5,0)</f>
        <v>-0.0598620066309303</v>
      </c>
      <c r="P5" s="47" t="s">
        <v>415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-3831.68451483207</v>
      </c>
      <c r="N6" s="21" t="n">
        <f aca="false">M6-E6*INDEX(Assumptions!$C$37:$C$38,MATCH('Manatee-Sarasota'!$Q$6,Assumptions!$B$37:$B$38,0))</f>
        <v>-20831.6845148321</v>
      </c>
      <c r="O6" s="23" t="n">
        <f aca="false">IFERROR(M6/L6,0)</f>
        <v>-0.0263165145249455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-1141.71933608533</v>
      </c>
      <c r="N7" s="21" t="n">
        <f aca="false">M7-E7*INDEX(Assumptions!$C$37:$C$38,MATCH('Manatee-Sarasota'!$Q$6,Assumptions!$B$37:$B$38,0))</f>
        <v>-18141.7193360853</v>
      </c>
      <c r="O7" s="23" t="n">
        <f aca="false">IFERROR(M7/L7,0)</f>
        <v>-0.00657672428620584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-5067.31269769074</v>
      </c>
      <c r="N9" s="21" t="n">
        <f aca="false">M9-E9*INDEX(Assumptions!$C$37:$C$38,MATCH('Manatee-Sarasota'!$Q$7,Assumptions!$B$37:$B$38,0))</f>
        <v>-19667.3126976907</v>
      </c>
      <c r="O9" s="23" t="n">
        <f aca="false">IFERROR(M9/L9,0)</f>
        <v>-0.0458995715370538</v>
      </c>
      <c r="P9" s="47" t="s">
        <v>415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-2432.09799432634</v>
      </c>
      <c r="N10" s="21" t="n">
        <f aca="false">M10-E10*INDEX(Assumptions!$C$37:$C$38,MATCH('Manatee-Sarasota'!$Q$7,Assumptions!$B$37:$B$38,0))</f>
        <v>-17032.0979943263</v>
      </c>
      <c r="O10" s="23" t="n">
        <f aca="false">IFERROR(M10/L10,0)</f>
        <v>-0.0182316191478737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-222.483740355812</v>
      </c>
      <c r="N11" s="21" t="n">
        <f aca="false">M11-E11*INDEX(Assumptions!$C$37:$C$38,MATCH('Manatee-Sarasota'!$Q$7,Assumptions!$B$37:$B$38,0))</f>
        <v>-14822.4837403558</v>
      </c>
      <c r="O11" s="23" t="n">
        <f aca="false">IFERROR(M11/L11,0)</f>
        <v>-0.00142253030918038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-7644.75569264008</v>
      </c>
      <c r="N13" s="21" t="n">
        <f aca="false">M13-E13*INDEX(Assumptions!$C$37:$C$38,MATCH('Manatee-Sarasota'!$Q$8,Assumptions!$B$37:$B$38,0))</f>
        <v>-25444.7556926401</v>
      </c>
      <c r="O13" s="23" t="n">
        <f aca="false">IFERROR(M13/L13,0)</f>
        <v>-0.0606726642273022</v>
      </c>
      <c r="P13" s="47" t="s">
        <v>415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-4207.51912303436</v>
      </c>
      <c r="N14" s="21" t="n">
        <f aca="false">M14-E14*INDEX(Assumptions!$C$37:$C$38,MATCH('Manatee-Sarasota'!$Q$8,Assumptions!$B$37:$B$38,0))</f>
        <v>-22007.5191230344</v>
      </c>
      <c r="O14" s="23" t="n">
        <f aca="false">IFERROR(M14/L14,0)</f>
        <v>-0.0269712764297075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-1325.41357437715</v>
      </c>
      <c r="N15" s="21" t="n">
        <f aca="false">M15-E15*INDEX(Assumptions!$C$37:$C$38,MATCH('Manatee-Sarasota'!$Q$8,Assumptions!$B$37:$B$38,0))</f>
        <v>-19125.4135743771</v>
      </c>
      <c r="O15" s="23" t="n">
        <f aca="false">IFERROR(M15/L15,0)</f>
        <v>-0.0071258794321352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-10745.4275182174</v>
      </c>
      <c r="N17" s="21" t="n">
        <f aca="false">M17-E17*INDEX(Assumptions!$C$37:$C$38,MATCH(Pinellas!$Q$6,Assumptions!$B$37:$B$38,0))</f>
        <v>-24945.4275182174</v>
      </c>
      <c r="O17" s="23" t="n">
        <f aca="false">IFERROR(M17/L17,0)</f>
        <v>-0.0923146694004932</v>
      </c>
      <c r="P17" s="47" t="s">
        <v>415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-7966.99462445278</v>
      </c>
      <c r="N18" s="21" t="n">
        <f aca="false">M18-E18*INDEX(Assumptions!$C$37:$C$38,MATCH(Pinellas!$Q$6,Assumptions!$B$37:$B$38,0))</f>
        <v>-22166.9946244528</v>
      </c>
      <c r="O18" s="23" t="n">
        <f aca="false">IFERROR(M18/L18,0)</f>
        <v>-0.0566441139314097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-5637.29263928819</v>
      </c>
      <c r="N19" s="21" t="n">
        <f aca="false">M19-E19*INDEX(Assumptions!$C$37:$C$38,MATCH(Pinellas!$Q$6,Assumptions!$B$37:$B$38,0))</f>
        <v>-19837.2926392882</v>
      </c>
      <c r="O19" s="23" t="n">
        <f aca="false">IFERROR(M19/L19,0)</f>
        <v>-0.03418612880102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-1365.4275182174</v>
      </c>
      <c r="N21" s="21" t="n">
        <f aca="false">M21-E21*INDEX(Assumptions!$C$37:$C$38,MATCH(Pinellas!$Q$7,Assumptions!$B$37:$B$38,0))</f>
        <v>-18365.4275182174</v>
      </c>
      <c r="O21" s="23" t="n">
        <f aca="false">IFERROR(M21/L21,0)</f>
        <v>-0.0117304769606306</v>
      </c>
      <c r="P21" s="47" t="s">
        <v>415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1413.00537554723</v>
      </c>
      <c r="N22" s="21" t="n">
        <f aca="false">M22-E22*INDEX(Assumptions!$C$37:$C$38,MATCH(Pinellas!$Q$7,Assumptions!$B$37:$B$38,0))</f>
        <v>-15586.9946244528</v>
      </c>
      <c r="O22" s="23" t="n">
        <f aca="false">IFERROR(M22/L22,0)</f>
        <v>0.0100462522257179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3742.70736071181</v>
      </c>
      <c r="N23" s="21" t="n">
        <f aca="false">M23-E23*INDEX(Assumptions!$C$37:$C$38,MATCH(Pinellas!$Q$7,Assumptions!$B$37:$B$38,0))</f>
        <v>-13257.2926392882</v>
      </c>
      <c r="O23" s="23" t="n">
        <f aca="false">IFERROR(M23/L23,0)</f>
        <v>0.0226968305682948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-16518.0905440108</v>
      </c>
      <c r="N25" s="21" t="n">
        <f aca="false">M25-E25*INDEX(Assumptions!$C$37:$C$38,MATCH('Monroe (Keys)'!$Q$6,Assumptions!$B$37:$B$38,0))</f>
        <v>-36314.0905440108</v>
      </c>
      <c r="O25" s="23" t="n">
        <f aca="false">IFERROR(M25/L25,0)</f>
        <v>-0.0905597069298836</v>
      </c>
      <c r="P25" s="47" t="s">
        <v>415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-12164.2575558435</v>
      </c>
      <c r="N26" s="21" t="n">
        <f aca="false">M26-E26*INDEX(Assumptions!$C$37:$C$38,MATCH('Monroe (Keys)'!$Q$6,Assumptions!$B$37:$B$38,0))</f>
        <v>-31960.2575558435</v>
      </c>
      <c r="O26" s="23" t="n">
        <f aca="false">IFERROR(M26/L26,0)</f>
        <v>-0.0551917311971121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-8513.59052754439</v>
      </c>
      <c r="N27" s="21" t="n">
        <f aca="false">M27-E27*INDEX(Assumptions!$C$37:$C$38,MATCH('Monroe (Keys)'!$Q$6,Assumptions!$B$37:$B$38,0))</f>
        <v>-28309.5905275444</v>
      </c>
      <c r="O27" s="23" t="n">
        <f aca="false">IFERROR(M27/L27,0)</f>
        <v>-0.0329473317629427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31.5" hidden="false" customHeight="true" outlineLevel="0" collapsed="false">
      <c r="A4" s="3" t="s">
        <v>111</v>
      </c>
      <c r="B4" s="3" t="s">
        <v>418</v>
      </c>
      <c r="C4" s="3" t="s">
        <v>419</v>
      </c>
      <c r="D4" s="3" t="s">
        <v>420</v>
      </c>
      <c r="E4" s="3" t="s">
        <v>421</v>
      </c>
      <c r="F4" s="3" t="s">
        <v>422</v>
      </c>
      <c r="G4" s="3" t="s">
        <v>423</v>
      </c>
      <c r="H4" s="3" t="s">
        <v>424</v>
      </c>
      <c r="I4" s="3" t="s">
        <v>425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426</v>
      </c>
      <c r="C5" s="9" t="s">
        <v>427</v>
      </c>
      <c r="D5" s="9" t="s">
        <v>428</v>
      </c>
      <c r="E5" s="9" t="s">
        <v>429</v>
      </c>
      <c r="F5" s="9" t="s">
        <v>430</v>
      </c>
      <c r="G5" s="9" t="s">
        <v>431</v>
      </c>
      <c r="H5" s="9" t="s">
        <v>432</v>
      </c>
      <c r="I5" s="9" t="s">
        <v>433</v>
      </c>
      <c r="J5" s="9" t="s">
        <v>434</v>
      </c>
    </row>
    <row r="6" customFormat="false" ht="35.05" hidden="false" customHeight="false" outlineLevel="0" collapsed="false">
      <c r="A6" s="35" t="n">
        <v>2</v>
      </c>
      <c r="B6" s="48" t="s">
        <v>435</v>
      </c>
      <c r="C6" s="48" t="s">
        <v>436</v>
      </c>
      <c r="D6" s="48" t="s">
        <v>437</v>
      </c>
      <c r="E6" s="48" t="s">
        <v>438</v>
      </c>
      <c r="F6" s="48" t="s">
        <v>430</v>
      </c>
      <c r="G6" s="48" t="s">
        <v>439</v>
      </c>
      <c r="H6" s="48" t="s">
        <v>440</v>
      </c>
      <c r="I6" s="48" t="s">
        <v>441</v>
      </c>
      <c r="J6" s="48" t="s">
        <v>442</v>
      </c>
    </row>
    <row r="7" customFormat="false" ht="35.05" hidden="false" customHeight="false" outlineLevel="0" collapsed="false">
      <c r="A7" s="9" t="s">
        <v>443</v>
      </c>
      <c r="B7" s="9" t="s">
        <v>444</v>
      </c>
      <c r="C7" s="9" t="s">
        <v>445</v>
      </c>
      <c r="D7" s="9" t="s">
        <v>446</v>
      </c>
      <c r="E7" s="9" t="s">
        <v>447</v>
      </c>
      <c r="F7" s="9" t="s">
        <v>448</v>
      </c>
      <c r="G7" s="9" t="s">
        <v>449</v>
      </c>
      <c r="H7" s="9" t="s">
        <v>450</v>
      </c>
      <c r="I7" s="9" t="s">
        <v>451</v>
      </c>
      <c r="J7" s="9" t="s">
        <v>452</v>
      </c>
    </row>
    <row r="8" customFormat="false" ht="46.25" hidden="false" customHeight="false" outlineLevel="0" collapsed="false">
      <c r="A8" s="48" t="s">
        <v>453</v>
      </c>
      <c r="B8" s="48" t="s">
        <v>454</v>
      </c>
      <c r="C8" s="48" t="s">
        <v>415</v>
      </c>
      <c r="D8" s="48" t="s">
        <v>415</v>
      </c>
      <c r="E8" s="48" t="s">
        <v>415</v>
      </c>
      <c r="F8" s="48" t="s">
        <v>415</v>
      </c>
      <c r="G8" s="48" t="s">
        <v>455</v>
      </c>
      <c r="H8" s="48" t="s">
        <v>415</v>
      </c>
      <c r="I8" s="48" t="s">
        <v>456</v>
      </c>
      <c r="J8" s="48" t="s">
        <v>457</v>
      </c>
    </row>
    <row r="9" customFormat="false" ht="35.05" hidden="false" customHeight="false" outlineLevel="0" collapsed="false">
      <c r="A9" s="26" t="n">
        <v>3</v>
      </c>
      <c r="B9" s="9" t="s">
        <v>458</v>
      </c>
      <c r="C9" s="9" t="s">
        <v>459</v>
      </c>
      <c r="D9" s="9" t="s">
        <v>460</v>
      </c>
      <c r="E9" s="9" t="s">
        <v>461</v>
      </c>
      <c r="F9" s="9" t="s">
        <v>462</v>
      </c>
      <c r="G9" s="9" t="s">
        <v>463</v>
      </c>
      <c r="H9" s="9" t="s">
        <v>464</v>
      </c>
      <c r="I9" s="9" t="s">
        <v>465</v>
      </c>
      <c r="J9" s="9" t="s">
        <v>466</v>
      </c>
    </row>
    <row r="10" customFormat="false" ht="35.05" hidden="false" customHeight="false" outlineLevel="0" collapsed="false">
      <c r="A10" s="48" t="s">
        <v>467</v>
      </c>
      <c r="B10" s="48" t="s">
        <v>468</v>
      </c>
      <c r="C10" s="48" t="s">
        <v>469</v>
      </c>
      <c r="D10" s="48" t="s">
        <v>470</v>
      </c>
      <c r="E10" s="48" t="s">
        <v>471</v>
      </c>
      <c r="F10" s="48" t="s">
        <v>472</v>
      </c>
      <c r="G10" s="48" t="s">
        <v>473</v>
      </c>
      <c r="H10" s="48" t="s">
        <v>474</v>
      </c>
      <c r="I10" s="48" t="s">
        <v>475</v>
      </c>
      <c r="J10" s="48" t="s">
        <v>476</v>
      </c>
    </row>
    <row r="11" customFormat="false" ht="35.05" hidden="false" customHeight="false" outlineLevel="0" collapsed="false">
      <c r="A11" s="26" t="n">
        <v>4</v>
      </c>
      <c r="B11" s="9" t="s">
        <v>477</v>
      </c>
      <c r="C11" s="9" t="s">
        <v>478</v>
      </c>
      <c r="D11" s="9" t="s">
        <v>479</v>
      </c>
      <c r="E11" s="9" t="s">
        <v>480</v>
      </c>
      <c r="F11" s="9" t="s">
        <v>481</v>
      </c>
      <c r="G11" s="9" t="s">
        <v>482</v>
      </c>
      <c r="H11" s="9" t="s">
        <v>483</v>
      </c>
      <c r="I11" s="9" t="s">
        <v>484</v>
      </c>
      <c r="J11" s="9" t="s">
        <v>485</v>
      </c>
    </row>
    <row r="12" customFormat="false" ht="23.85" hidden="false" customHeight="false" outlineLevel="0" collapsed="false">
      <c r="A12" s="35" t="n">
        <v>5</v>
      </c>
      <c r="B12" s="48" t="s">
        <v>486</v>
      </c>
      <c r="C12" s="48" t="s">
        <v>487</v>
      </c>
      <c r="D12" s="48" t="s">
        <v>488</v>
      </c>
      <c r="E12" s="48" t="s">
        <v>489</v>
      </c>
      <c r="F12" s="48" t="s">
        <v>490</v>
      </c>
      <c r="G12" s="48" t="s">
        <v>491</v>
      </c>
      <c r="H12" s="48" t="s">
        <v>492</v>
      </c>
      <c r="I12" s="48" t="s">
        <v>493</v>
      </c>
      <c r="J12" s="48" t="s">
        <v>494</v>
      </c>
    </row>
    <row r="13" customFormat="false" ht="23.85" hidden="false" customHeight="false" outlineLevel="0" collapsed="false">
      <c r="A13" s="26" t="n">
        <v>6</v>
      </c>
      <c r="B13" s="9" t="s">
        <v>495</v>
      </c>
      <c r="C13" s="9" t="s">
        <v>496</v>
      </c>
      <c r="D13" s="9" t="s">
        <v>497</v>
      </c>
      <c r="E13" s="9" t="s">
        <v>498</v>
      </c>
      <c r="F13" s="9" t="s">
        <v>499</v>
      </c>
      <c r="G13" s="9" t="s">
        <v>500</v>
      </c>
      <c r="H13" s="9" t="s">
        <v>501</v>
      </c>
      <c r="I13" s="9" t="s">
        <v>502</v>
      </c>
      <c r="J13" s="9" t="s">
        <v>503</v>
      </c>
    </row>
    <row r="14" customFormat="false" ht="15" hidden="false" customHeight="false" outlineLevel="0" collapsed="false">
      <c r="A14" s="35" t="n">
        <v>7</v>
      </c>
      <c r="B14" s="48" t="s">
        <v>504</v>
      </c>
      <c r="C14" s="48" t="s">
        <v>478</v>
      </c>
      <c r="D14" s="48" t="s">
        <v>505</v>
      </c>
      <c r="E14" s="48" t="s">
        <v>506</v>
      </c>
      <c r="F14" s="48" t="s">
        <v>507</v>
      </c>
      <c r="G14" s="48" t="s">
        <v>508</v>
      </c>
      <c r="H14" s="48" t="s">
        <v>415</v>
      </c>
      <c r="I14" s="48" t="s">
        <v>509</v>
      </c>
      <c r="J14" s="48" t="s">
        <v>510</v>
      </c>
    </row>
    <row r="15" customFormat="false" ht="35.05" hidden="false" customHeight="false" outlineLevel="0" collapsed="false">
      <c r="A15" s="26" t="n">
        <v>8</v>
      </c>
      <c r="B15" s="9" t="s">
        <v>511</v>
      </c>
      <c r="C15" s="9" t="s">
        <v>512</v>
      </c>
      <c r="D15" s="9" t="s">
        <v>513</v>
      </c>
      <c r="E15" s="9" t="s">
        <v>514</v>
      </c>
      <c r="F15" s="9" t="s">
        <v>515</v>
      </c>
      <c r="G15" s="9" t="s">
        <v>516</v>
      </c>
      <c r="H15" s="9" t="s">
        <v>517</v>
      </c>
      <c r="I15" s="9" t="s">
        <v>518</v>
      </c>
      <c r="J15" s="9" t="s">
        <v>510</v>
      </c>
    </row>
    <row r="16" customFormat="false" ht="23.85" hidden="false" customHeight="false" outlineLevel="0" collapsed="false">
      <c r="A16" s="35" t="n">
        <v>9</v>
      </c>
      <c r="B16" s="48" t="s">
        <v>519</v>
      </c>
      <c r="C16" s="48" t="s">
        <v>520</v>
      </c>
      <c r="D16" s="48" t="s">
        <v>521</v>
      </c>
      <c r="E16" s="48" t="s">
        <v>522</v>
      </c>
      <c r="F16" s="48" t="s">
        <v>523</v>
      </c>
      <c r="G16" s="48" t="s">
        <v>524</v>
      </c>
      <c r="H16" s="48" t="s">
        <v>415</v>
      </c>
      <c r="I16" s="48" t="s">
        <v>525</v>
      </c>
      <c r="J16" s="48" t="s">
        <v>526</v>
      </c>
    </row>
    <row r="17" customFormat="false" ht="23.85" hidden="false" customHeight="false" outlineLevel="0" collapsed="false">
      <c r="A17" s="26" t="n">
        <v>10</v>
      </c>
      <c r="B17" s="9" t="s">
        <v>527</v>
      </c>
      <c r="C17" s="9" t="s">
        <v>528</v>
      </c>
      <c r="D17" s="9" t="s">
        <v>497</v>
      </c>
      <c r="E17" s="9" t="s">
        <v>529</v>
      </c>
      <c r="F17" s="9" t="s">
        <v>530</v>
      </c>
      <c r="G17" s="9" t="s">
        <v>531</v>
      </c>
      <c r="H17" s="9" t="s">
        <v>415</v>
      </c>
      <c r="I17" s="9" t="s">
        <v>532</v>
      </c>
      <c r="J17" s="9" t="s">
        <v>526</v>
      </c>
    </row>
    <row r="18" customFormat="false" ht="23.85" hidden="false" customHeight="false" outlineLevel="0" collapsed="false">
      <c r="A18" s="35" t="n">
        <v>11</v>
      </c>
      <c r="B18" s="48" t="s">
        <v>533</v>
      </c>
      <c r="C18" s="48" t="s">
        <v>534</v>
      </c>
      <c r="D18" s="48" t="s">
        <v>513</v>
      </c>
      <c r="E18" s="48" t="s">
        <v>535</v>
      </c>
      <c r="F18" s="48" t="s">
        <v>536</v>
      </c>
      <c r="G18" s="48" t="s">
        <v>537</v>
      </c>
      <c r="H18" s="48" t="s">
        <v>415</v>
      </c>
      <c r="I18" s="48" t="s">
        <v>538</v>
      </c>
      <c r="J18" s="48" t="s">
        <v>526</v>
      </c>
    </row>
    <row r="19" customFormat="false" ht="23.85" hidden="false" customHeight="false" outlineLevel="0" collapsed="false">
      <c r="A19" s="26" t="n">
        <v>12</v>
      </c>
      <c r="B19" s="9" t="s">
        <v>539</v>
      </c>
      <c r="C19" s="9" t="s">
        <v>540</v>
      </c>
      <c r="D19" s="9" t="s">
        <v>541</v>
      </c>
      <c r="E19" s="9" t="s">
        <v>542</v>
      </c>
      <c r="F19" s="9" t="s">
        <v>543</v>
      </c>
      <c r="G19" s="9" t="s">
        <v>544</v>
      </c>
      <c r="H19" s="9" t="s">
        <v>415</v>
      </c>
      <c r="I19" s="9" t="s">
        <v>545</v>
      </c>
      <c r="J19" s="9" t="s">
        <v>526</v>
      </c>
    </row>
    <row r="20" customFormat="false" ht="23.85" hidden="false" customHeight="false" outlineLevel="0" collapsed="false">
      <c r="A20" s="35" t="n">
        <v>13</v>
      </c>
      <c r="B20" s="48" t="s">
        <v>546</v>
      </c>
      <c r="C20" s="48" t="s">
        <v>547</v>
      </c>
      <c r="D20" s="48" t="s">
        <v>548</v>
      </c>
      <c r="E20" s="48" t="s">
        <v>549</v>
      </c>
      <c r="F20" s="48" t="s">
        <v>550</v>
      </c>
      <c r="G20" s="48" t="s">
        <v>551</v>
      </c>
      <c r="H20" s="48" t="s">
        <v>415</v>
      </c>
      <c r="I20" s="48" t="s">
        <v>552</v>
      </c>
      <c r="J20" s="48" t="s">
        <v>526</v>
      </c>
    </row>
    <row r="21" customFormat="false" ht="23.85" hidden="false" customHeight="false" outlineLevel="0" collapsed="false">
      <c r="A21" s="9" t="s">
        <v>415</v>
      </c>
      <c r="B21" s="9" t="s">
        <v>553</v>
      </c>
      <c r="C21" s="9" t="s">
        <v>554</v>
      </c>
      <c r="D21" s="9" t="s">
        <v>415</v>
      </c>
      <c r="E21" s="9" t="s">
        <v>415</v>
      </c>
      <c r="F21" s="9" t="s">
        <v>555</v>
      </c>
      <c r="G21" s="9" t="s">
        <v>556</v>
      </c>
      <c r="H21" s="9" t="s">
        <v>415</v>
      </c>
      <c r="I21" s="9" t="s">
        <v>557</v>
      </c>
      <c r="J21" s="9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2" t="s">
        <v>559</v>
      </c>
    </row>
    <row r="4" customFormat="false" ht="31.5" hidden="false" customHeight="true" outlineLevel="0" collapsed="false">
      <c r="A4" s="3" t="s">
        <v>560</v>
      </c>
      <c r="B4" s="3" t="s">
        <v>561</v>
      </c>
      <c r="C4" s="3" t="s">
        <v>562</v>
      </c>
      <c r="D4" s="3" t="s">
        <v>563</v>
      </c>
      <c r="E4" s="3" t="s">
        <v>564</v>
      </c>
      <c r="F4" s="3" t="s">
        <v>565</v>
      </c>
      <c r="G4" s="3" t="s">
        <v>566</v>
      </c>
      <c r="H4" s="3" t="s">
        <v>567</v>
      </c>
    </row>
    <row r="5" customFormat="false" ht="46.25" hidden="false" customHeight="false" outlineLevel="0" collapsed="false">
      <c r="A5" s="9" t="s">
        <v>568</v>
      </c>
      <c r="B5" s="9" t="s">
        <v>569</v>
      </c>
      <c r="C5" s="9" t="s">
        <v>570</v>
      </c>
      <c r="D5" s="9" t="s">
        <v>415</v>
      </c>
      <c r="E5" s="9" t="s">
        <v>415</v>
      </c>
      <c r="F5" s="9" t="s">
        <v>571</v>
      </c>
      <c r="G5" s="9" t="s">
        <v>572</v>
      </c>
      <c r="H5" s="9" t="s">
        <v>573</v>
      </c>
    </row>
    <row r="6" customFormat="false" ht="23.85" hidden="false" customHeight="false" outlineLevel="0" collapsed="false">
      <c r="A6" s="48" t="s">
        <v>574</v>
      </c>
      <c r="B6" s="48" t="s">
        <v>575</v>
      </c>
      <c r="C6" s="48" t="s">
        <v>576</v>
      </c>
      <c r="D6" s="48" t="s">
        <v>577</v>
      </c>
      <c r="E6" s="48" t="s">
        <v>578</v>
      </c>
      <c r="F6" s="48" t="s">
        <v>579</v>
      </c>
      <c r="G6" s="48" t="s">
        <v>580</v>
      </c>
      <c r="H6" s="48" t="s">
        <v>581</v>
      </c>
    </row>
    <row r="7" customFormat="false" ht="23.85" hidden="false" customHeight="false" outlineLevel="0" collapsed="false">
      <c r="A7" s="9" t="s">
        <v>582</v>
      </c>
      <c r="B7" s="9" t="s">
        <v>583</v>
      </c>
      <c r="C7" s="9" t="s">
        <v>584</v>
      </c>
      <c r="D7" s="9" t="s">
        <v>585</v>
      </c>
      <c r="E7" s="9" t="s">
        <v>586</v>
      </c>
      <c r="F7" s="9" t="s">
        <v>587</v>
      </c>
      <c r="G7" s="9" t="s">
        <v>588</v>
      </c>
      <c r="H7" s="9" t="s">
        <v>589</v>
      </c>
    </row>
    <row r="8" customFormat="false" ht="23.85" hidden="false" customHeight="false" outlineLevel="0" collapsed="false">
      <c r="A8" s="48" t="s">
        <v>590</v>
      </c>
      <c r="B8" s="48" t="s">
        <v>591</v>
      </c>
      <c r="C8" s="48" t="s">
        <v>592</v>
      </c>
      <c r="D8" s="48" t="s">
        <v>593</v>
      </c>
      <c r="E8" s="48" t="s">
        <v>594</v>
      </c>
      <c r="F8" s="48" t="s">
        <v>595</v>
      </c>
      <c r="G8" s="48" t="s">
        <v>596</v>
      </c>
      <c r="H8" s="48" t="s">
        <v>597</v>
      </c>
    </row>
    <row r="9" customFormat="false" ht="23.85" hidden="false" customHeight="false" outlineLevel="0" collapsed="false">
      <c r="A9" s="9" t="s">
        <v>598</v>
      </c>
      <c r="B9" s="9" t="s">
        <v>599</v>
      </c>
      <c r="C9" s="9" t="s">
        <v>600</v>
      </c>
      <c r="D9" s="9" t="s">
        <v>601</v>
      </c>
      <c r="E9" s="9" t="s">
        <v>602</v>
      </c>
      <c r="F9" s="9" t="s">
        <v>603</v>
      </c>
      <c r="G9" s="9" t="s">
        <v>604</v>
      </c>
      <c r="H9" s="9" t="s">
        <v>605</v>
      </c>
    </row>
    <row r="10" customFormat="false" ht="15" hidden="false" customHeight="false" outlineLevel="0" collapsed="false">
      <c r="A10" s="48" t="s">
        <v>606</v>
      </c>
      <c r="B10" s="48" t="s">
        <v>607</v>
      </c>
      <c r="C10" s="48" t="s">
        <v>608</v>
      </c>
      <c r="D10" s="48" t="s">
        <v>609</v>
      </c>
      <c r="E10" s="48" t="s">
        <v>610</v>
      </c>
      <c r="F10" s="48" t="s">
        <v>611</v>
      </c>
      <c r="G10" s="48" t="s">
        <v>612</v>
      </c>
      <c r="H10" s="48" t="s">
        <v>613</v>
      </c>
    </row>
    <row r="11" customFormat="false" ht="23.85" hidden="false" customHeight="false" outlineLevel="0" collapsed="false">
      <c r="A11" s="9" t="s">
        <v>614</v>
      </c>
      <c r="B11" s="9" t="s">
        <v>615</v>
      </c>
      <c r="C11" s="9" t="s">
        <v>616</v>
      </c>
      <c r="D11" s="9" t="s">
        <v>617</v>
      </c>
      <c r="E11" s="9" t="s">
        <v>618</v>
      </c>
      <c r="F11" s="9" t="s">
        <v>619</v>
      </c>
      <c r="G11" s="9" t="s">
        <v>620</v>
      </c>
      <c r="H11" s="9" t="s">
        <v>621</v>
      </c>
    </row>
    <row r="12" customFormat="false" ht="35.05" hidden="false" customHeight="false" outlineLevel="0" collapsed="false">
      <c r="A12" s="48" t="s">
        <v>622</v>
      </c>
      <c r="B12" s="48" t="s">
        <v>623</v>
      </c>
      <c r="C12" s="48" t="s">
        <v>624</v>
      </c>
      <c r="D12" s="48" t="s">
        <v>625</v>
      </c>
      <c r="E12" s="48" t="s">
        <v>626</v>
      </c>
      <c r="F12" s="48" t="s">
        <v>627</v>
      </c>
      <c r="G12" s="48" t="s">
        <v>628</v>
      </c>
      <c r="H12" s="48" t="s">
        <v>629</v>
      </c>
    </row>
    <row r="13" customFormat="false" ht="35.05" hidden="false" customHeight="false" outlineLevel="0" collapsed="false">
      <c r="A13" s="9" t="s">
        <v>630</v>
      </c>
      <c r="B13" s="9" t="s">
        <v>631</v>
      </c>
      <c r="C13" s="9" t="s">
        <v>632</v>
      </c>
      <c r="D13" s="9" t="s">
        <v>633</v>
      </c>
      <c r="E13" s="9" t="s">
        <v>634</v>
      </c>
      <c r="F13" s="9" t="s">
        <v>635</v>
      </c>
      <c r="G13" s="9" t="s">
        <v>636</v>
      </c>
      <c r="H13" s="9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638</v>
      </c>
    </row>
    <row r="2" customFormat="false" ht="15" hidden="false" customHeight="false" outlineLevel="0" collapsed="false">
      <c r="A2" s="2" t="s">
        <v>639</v>
      </c>
    </row>
    <row r="4" customFormat="false" ht="31.5" hidden="false" customHeight="true" outlineLevel="0" collapsed="false">
      <c r="A4" s="3" t="s">
        <v>112</v>
      </c>
      <c r="B4" s="3" t="s">
        <v>640</v>
      </c>
      <c r="C4" s="3" t="s">
        <v>641</v>
      </c>
      <c r="D4" s="3" t="s">
        <v>642</v>
      </c>
      <c r="E4" s="3" t="s">
        <v>643</v>
      </c>
      <c r="F4" s="3" t="s">
        <v>644</v>
      </c>
      <c r="G4" s="3" t="s">
        <v>645</v>
      </c>
    </row>
    <row r="5" customFormat="false" ht="23.85" hidden="false" customHeight="false" outlineLevel="0" collapsed="false">
      <c r="A5" s="9" t="s">
        <v>79</v>
      </c>
      <c r="B5" s="9" t="s">
        <v>646</v>
      </c>
      <c r="C5" s="9" t="s">
        <v>647</v>
      </c>
      <c r="D5" s="9" t="s">
        <v>648</v>
      </c>
      <c r="E5" s="9" t="s">
        <v>649</v>
      </c>
      <c r="F5" s="9" t="s">
        <v>650</v>
      </c>
      <c r="G5" s="9" t="s">
        <v>651</v>
      </c>
    </row>
    <row r="6" customFormat="false" ht="23.85" hidden="false" customHeight="false" outlineLevel="0" collapsed="false">
      <c r="A6" s="48" t="s">
        <v>79</v>
      </c>
      <c r="B6" s="48" t="s">
        <v>652</v>
      </c>
      <c r="C6" s="48" t="s">
        <v>653</v>
      </c>
      <c r="D6" s="48" t="s">
        <v>654</v>
      </c>
      <c r="E6" s="48" t="s">
        <v>655</v>
      </c>
      <c r="F6" s="48" t="s">
        <v>656</v>
      </c>
      <c r="G6" s="48" t="s">
        <v>657</v>
      </c>
    </row>
    <row r="7" customFormat="false" ht="15" hidden="false" customHeight="false" outlineLevel="0" collapsed="false">
      <c r="A7" s="9" t="s">
        <v>79</v>
      </c>
      <c r="B7" s="9" t="s">
        <v>658</v>
      </c>
      <c r="C7" s="9" t="s">
        <v>653</v>
      </c>
      <c r="D7" s="9" t="s">
        <v>659</v>
      </c>
      <c r="E7" s="9" t="s">
        <v>660</v>
      </c>
      <c r="F7" s="9" t="s">
        <v>661</v>
      </c>
      <c r="G7" s="9" t="s">
        <v>662</v>
      </c>
    </row>
    <row r="8" customFormat="false" ht="23.85" hidden="false" customHeight="false" outlineLevel="0" collapsed="false">
      <c r="A8" s="48" t="s">
        <v>79</v>
      </c>
      <c r="B8" s="48" t="s">
        <v>663</v>
      </c>
      <c r="C8" s="48" t="s">
        <v>664</v>
      </c>
      <c r="D8" s="48" t="s">
        <v>665</v>
      </c>
      <c r="E8" s="48" t="s">
        <v>666</v>
      </c>
      <c r="F8" s="48" t="s">
        <v>667</v>
      </c>
      <c r="G8" s="48" t="s">
        <v>668</v>
      </c>
    </row>
    <row r="9" customFormat="false" ht="23.85" hidden="false" customHeight="false" outlineLevel="0" collapsed="false">
      <c r="A9" s="9" t="s">
        <v>79</v>
      </c>
      <c r="B9" s="9" t="s">
        <v>669</v>
      </c>
      <c r="C9" s="9" t="s">
        <v>670</v>
      </c>
      <c r="D9" s="9" t="s">
        <v>671</v>
      </c>
      <c r="E9" s="9" t="s">
        <v>672</v>
      </c>
      <c r="F9" s="9" t="s">
        <v>656</v>
      </c>
      <c r="G9" s="9" t="s">
        <v>673</v>
      </c>
    </row>
    <row r="10" customFormat="false" ht="23.85" hidden="false" customHeight="false" outlineLevel="0" collapsed="false">
      <c r="A10" s="48" t="s">
        <v>81</v>
      </c>
      <c r="B10" s="48" t="s">
        <v>674</v>
      </c>
      <c r="C10" s="48" t="s">
        <v>675</v>
      </c>
      <c r="D10" s="48" t="s">
        <v>676</v>
      </c>
      <c r="E10" s="48" t="s">
        <v>677</v>
      </c>
      <c r="F10" s="48" t="s">
        <v>678</v>
      </c>
      <c r="G10" s="48" t="s">
        <v>679</v>
      </c>
    </row>
    <row r="11" customFormat="false" ht="35.05" hidden="false" customHeight="false" outlineLevel="0" collapsed="false">
      <c r="A11" s="9" t="s">
        <v>81</v>
      </c>
      <c r="B11" s="9" t="s">
        <v>680</v>
      </c>
      <c r="C11" s="9" t="s">
        <v>681</v>
      </c>
      <c r="D11" s="9" t="s">
        <v>415</v>
      </c>
      <c r="E11" s="9" t="s">
        <v>682</v>
      </c>
      <c r="F11" s="9" t="s">
        <v>683</v>
      </c>
      <c r="G11" s="9" t="s">
        <v>684</v>
      </c>
    </row>
    <row r="12" customFormat="false" ht="23.85" hidden="false" customHeight="false" outlineLevel="0" collapsed="false">
      <c r="A12" s="48" t="s">
        <v>685</v>
      </c>
      <c r="B12" s="48" t="s">
        <v>686</v>
      </c>
      <c r="C12" s="48" t="s">
        <v>687</v>
      </c>
      <c r="D12" s="48" t="s">
        <v>688</v>
      </c>
      <c r="E12" s="48" t="s">
        <v>415</v>
      </c>
      <c r="F12" s="48" t="s">
        <v>689</v>
      </c>
      <c r="G12" s="48" t="s">
        <v>690</v>
      </c>
    </row>
    <row r="13" customFormat="false" ht="35.05" hidden="false" customHeight="false" outlineLevel="0" collapsed="false">
      <c r="A13" s="9" t="s">
        <v>81</v>
      </c>
      <c r="B13" s="9" t="s">
        <v>691</v>
      </c>
      <c r="C13" s="9" t="s">
        <v>692</v>
      </c>
      <c r="D13" s="9" t="s">
        <v>693</v>
      </c>
      <c r="E13" s="9" t="s">
        <v>415</v>
      </c>
      <c r="F13" s="9" t="s">
        <v>694</v>
      </c>
      <c r="G13" s="9" t="s">
        <v>695</v>
      </c>
    </row>
    <row r="14" customFormat="false" ht="15" hidden="false" customHeight="false" outlineLevel="0" collapsed="false">
      <c r="A14" s="48" t="s">
        <v>81</v>
      </c>
      <c r="B14" s="48" t="s">
        <v>696</v>
      </c>
      <c r="C14" s="48" t="s">
        <v>653</v>
      </c>
      <c r="D14" s="48" t="s">
        <v>697</v>
      </c>
      <c r="E14" s="48" t="s">
        <v>415</v>
      </c>
      <c r="F14" s="48" t="s">
        <v>698</v>
      </c>
      <c r="G14" s="48" t="s">
        <v>699</v>
      </c>
    </row>
    <row r="15" customFormat="false" ht="35.05" hidden="false" customHeight="false" outlineLevel="0" collapsed="false">
      <c r="A15" s="9" t="s">
        <v>700</v>
      </c>
      <c r="B15" s="9" t="s">
        <v>701</v>
      </c>
      <c r="C15" s="9" t="s">
        <v>415</v>
      </c>
      <c r="D15" s="9" t="s">
        <v>702</v>
      </c>
      <c r="E15" s="9" t="s">
        <v>415</v>
      </c>
      <c r="F15" s="9" t="s">
        <v>415</v>
      </c>
      <c r="G15" s="9" t="s">
        <v>703</v>
      </c>
    </row>
    <row r="16" customFormat="false" ht="35.05" hidden="false" customHeight="false" outlineLevel="0" collapsed="false">
      <c r="A16" s="48" t="s">
        <v>18</v>
      </c>
      <c r="B16" s="48" t="s">
        <v>704</v>
      </c>
      <c r="C16" s="48" t="s">
        <v>705</v>
      </c>
      <c r="D16" s="48" t="s">
        <v>706</v>
      </c>
      <c r="E16" s="48" t="s">
        <v>707</v>
      </c>
      <c r="F16" s="48" t="s">
        <v>656</v>
      </c>
      <c r="G16" s="48" t="s">
        <v>708</v>
      </c>
    </row>
    <row r="17" customFormat="false" ht="23.85" hidden="false" customHeight="false" outlineLevel="0" collapsed="false">
      <c r="A17" s="9" t="s">
        <v>18</v>
      </c>
      <c r="B17" s="9" t="s">
        <v>709</v>
      </c>
      <c r="C17" s="9" t="s">
        <v>705</v>
      </c>
      <c r="D17" s="9" t="s">
        <v>710</v>
      </c>
      <c r="E17" s="9" t="s">
        <v>711</v>
      </c>
      <c r="F17" s="9" t="s">
        <v>656</v>
      </c>
      <c r="G17" s="9" t="s">
        <v>712</v>
      </c>
    </row>
    <row r="18" customFormat="false" ht="35.05" hidden="false" customHeight="false" outlineLevel="0" collapsed="false">
      <c r="A18" s="48" t="s">
        <v>18</v>
      </c>
      <c r="B18" s="48" t="s">
        <v>713</v>
      </c>
      <c r="C18" s="48" t="s">
        <v>705</v>
      </c>
      <c r="D18" s="48" t="s">
        <v>714</v>
      </c>
      <c r="E18" s="48" t="s">
        <v>715</v>
      </c>
      <c r="F18" s="48" t="s">
        <v>656</v>
      </c>
      <c r="G18" s="48" t="s">
        <v>716</v>
      </c>
    </row>
    <row r="19" customFormat="false" ht="23.85" hidden="false" customHeight="false" outlineLevel="0" collapsed="false">
      <c r="A19" s="9" t="s">
        <v>18</v>
      </c>
      <c r="B19" s="9" t="s">
        <v>717</v>
      </c>
      <c r="C19" s="9" t="s">
        <v>705</v>
      </c>
      <c r="D19" s="9" t="s">
        <v>718</v>
      </c>
      <c r="E19" s="9" t="s">
        <v>719</v>
      </c>
      <c r="F19" s="9" t="s">
        <v>720</v>
      </c>
      <c r="G19" s="9" t="s">
        <v>721</v>
      </c>
    </row>
    <row r="20" customFormat="false" ht="23.85" hidden="false" customHeight="false" outlineLevel="0" collapsed="false">
      <c r="A20" s="48" t="s">
        <v>18</v>
      </c>
      <c r="B20" s="48" t="s">
        <v>722</v>
      </c>
      <c r="C20" s="48" t="s">
        <v>723</v>
      </c>
      <c r="D20" s="48" t="s">
        <v>415</v>
      </c>
      <c r="E20" s="48" t="s">
        <v>415</v>
      </c>
      <c r="F20" s="48" t="s">
        <v>724</v>
      </c>
      <c r="G20" s="48" t="s">
        <v>725</v>
      </c>
    </row>
    <row r="21" customFormat="false" ht="23.85" hidden="false" customHeight="false" outlineLevel="0" collapsed="false">
      <c r="A21" s="9" t="s">
        <v>18</v>
      </c>
      <c r="B21" s="9" t="s">
        <v>726</v>
      </c>
      <c r="C21" s="9" t="s">
        <v>727</v>
      </c>
      <c r="D21" s="9" t="s">
        <v>728</v>
      </c>
      <c r="E21" s="9" t="s">
        <v>415</v>
      </c>
      <c r="F21" s="9" t="s">
        <v>729</v>
      </c>
      <c r="G21" s="9" t="s">
        <v>730</v>
      </c>
    </row>
    <row r="22" customFormat="false" ht="23.85" hidden="false" customHeight="false" outlineLevel="0" collapsed="false">
      <c r="A22" s="48" t="s">
        <v>18</v>
      </c>
      <c r="B22" s="48" t="s">
        <v>731</v>
      </c>
      <c r="C22" s="48" t="s">
        <v>732</v>
      </c>
      <c r="D22" s="48" t="s">
        <v>733</v>
      </c>
      <c r="E22" s="48" t="s">
        <v>415</v>
      </c>
      <c r="F22" s="48" t="s">
        <v>689</v>
      </c>
      <c r="G22" s="48" t="s">
        <v>734</v>
      </c>
    </row>
    <row r="23" customFormat="false" ht="35.05" hidden="false" customHeight="false" outlineLevel="0" collapsed="false">
      <c r="A23" s="9" t="s">
        <v>18</v>
      </c>
      <c r="B23" s="9" t="s">
        <v>735</v>
      </c>
      <c r="C23" s="9" t="s">
        <v>736</v>
      </c>
      <c r="D23" s="9" t="s">
        <v>737</v>
      </c>
      <c r="E23" s="9" t="s">
        <v>738</v>
      </c>
      <c r="F23" s="9" t="s">
        <v>739</v>
      </c>
      <c r="G23" s="9" t="s">
        <v>740</v>
      </c>
    </row>
    <row r="24" customFormat="false" ht="23.85" hidden="false" customHeight="false" outlineLevel="0" collapsed="false">
      <c r="A24" s="48" t="s">
        <v>18</v>
      </c>
      <c r="B24" s="48" t="s">
        <v>741</v>
      </c>
      <c r="C24" s="48" t="s">
        <v>742</v>
      </c>
      <c r="D24" s="48" t="s">
        <v>743</v>
      </c>
      <c r="E24" s="48" t="s">
        <v>744</v>
      </c>
      <c r="F24" s="48" t="s">
        <v>745</v>
      </c>
      <c r="G24" s="48" t="s">
        <v>746</v>
      </c>
    </row>
    <row r="25" customFormat="false" ht="23.85" hidden="false" customHeight="false" outlineLevel="0" collapsed="false">
      <c r="A25" s="9" t="s">
        <v>18</v>
      </c>
      <c r="B25" s="9" t="s">
        <v>747</v>
      </c>
      <c r="C25" s="9" t="s">
        <v>748</v>
      </c>
      <c r="D25" s="9" t="s">
        <v>415</v>
      </c>
      <c r="E25" s="9" t="s">
        <v>415</v>
      </c>
      <c r="F25" s="9" t="s">
        <v>689</v>
      </c>
      <c r="G25" s="9" t="s">
        <v>749</v>
      </c>
    </row>
    <row r="26" customFormat="false" ht="35.05" hidden="false" customHeight="false" outlineLevel="0" collapsed="false">
      <c r="A26" s="48" t="s">
        <v>18</v>
      </c>
      <c r="B26" s="48" t="s">
        <v>750</v>
      </c>
      <c r="C26" s="48" t="s">
        <v>751</v>
      </c>
      <c r="D26" s="48" t="s">
        <v>415</v>
      </c>
      <c r="E26" s="48" t="s">
        <v>752</v>
      </c>
      <c r="F26" s="48" t="s">
        <v>753</v>
      </c>
      <c r="G26" s="48" t="s">
        <v>754</v>
      </c>
    </row>
    <row r="27" customFormat="false" ht="15" hidden="false" customHeight="false" outlineLevel="0" collapsed="false">
      <c r="A27" s="9" t="s">
        <v>84</v>
      </c>
      <c r="B27" s="9" t="s">
        <v>755</v>
      </c>
      <c r="C27" s="9" t="s">
        <v>705</v>
      </c>
      <c r="D27" s="9" t="s">
        <v>756</v>
      </c>
      <c r="E27" s="9" t="s">
        <v>757</v>
      </c>
      <c r="F27" s="9" t="s">
        <v>656</v>
      </c>
      <c r="G27" s="9" t="s">
        <v>758</v>
      </c>
    </row>
    <row r="28" customFormat="false" ht="23.85" hidden="false" customHeight="false" outlineLevel="0" collapsed="false">
      <c r="A28" s="48" t="s">
        <v>84</v>
      </c>
      <c r="B28" s="48" t="s">
        <v>759</v>
      </c>
      <c r="C28" s="48" t="s">
        <v>705</v>
      </c>
      <c r="D28" s="48" t="s">
        <v>760</v>
      </c>
      <c r="E28" s="48" t="s">
        <v>415</v>
      </c>
      <c r="F28" s="48" t="s">
        <v>656</v>
      </c>
      <c r="G28" s="48" t="s">
        <v>761</v>
      </c>
    </row>
    <row r="29" customFormat="false" ht="15" hidden="false" customHeight="false" outlineLevel="0" collapsed="false">
      <c r="A29" s="9" t="s">
        <v>84</v>
      </c>
      <c r="B29" s="9" t="s">
        <v>762</v>
      </c>
      <c r="C29" s="9" t="s">
        <v>653</v>
      </c>
      <c r="D29" s="9" t="s">
        <v>763</v>
      </c>
      <c r="E29" s="9" t="s">
        <v>415</v>
      </c>
      <c r="F29" s="9" t="s">
        <v>656</v>
      </c>
      <c r="G29" s="9" t="s">
        <v>764</v>
      </c>
    </row>
    <row r="30" customFormat="false" ht="15" hidden="false" customHeight="false" outlineLevel="0" collapsed="false">
      <c r="A30" s="48" t="s">
        <v>84</v>
      </c>
      <c r="B30" s="48" t="s">
        <v>765</v>
      </c>
      <c r="C30" s="48" t="s">
        <v>766</v>
      </c>
      <c r="D30" s="48" t="s">
        <v>415</v>
      </c>
      <c r="E30" s="48" t="s">
        <v>415</v>
      </c>
      <c r="F30" s="48" t="s">
        <v>689</v>
      </c>
      <c r="G30" s="48" t="s">
        <v>767</v>
      </c>
    </row>
    <row r="31" customFormat="false" ht="23.85" hidden="false" customHeight="false" outlineLevel="0" collapsed="false">
      <c r="A31" s="9" t="s">
        <v>86</v>
      </c>
      <c r="B31" s="9" t="s">
        <v>768</v>
      </c>
      <c r="C31" s="9" t="s">
        <v>769</v>
      </c>
      <c r="D31" s="9" t="s">
        <v>770</v>
      </c>
      <c r="E31" s="9" t="s">
        <v>771</v>
      </c>
      <c r="F31" s="9" t="s">
        <v>656</v>
      </c>
      <c r="G31" s="9" t="s">
        <v>772</v>
      </c>
    </row>
    <row r="32" customFormat="false" ht="15" hidden="false" customHeight="false" outlineLevel="0" collapsed="false">
      <c r="A32" s="48" t="s">
        <v>88</v>
      </c>
      <c r="B32" s="48" t="s">
        <v>773</v>
      </c>
      <c r="C32" s="48" t="s">
        <v>705</v>
      </c>
      <c r="D32" s="48" t="s">
        <v>774</v>
      </c>
      <c r="E32" s="48" t="s">
        <v>775</v>
      </c>
      <c r="F32" s="48" t="s">
        <v>656</v>
      </c>
      <c r="G32" s="48" t="s">
        <v>776</v>
      </c>
    </row>
    <row r="33" customFormat="false" ht="15" hidden="false" customHeight="false" outlineLevel="0" collapsed="false">
      <c r="A33" s="9" t="s">
        <v>88</v>
      </c>
      <c r="B33" s="9" t="s">
        <v>777</v>
      </c>
      <c r="C33" s="9" t="s">
        <v>778</v>
      </c>
      <c r="D33" s="9" t="s">
        <v>415</v>
      </c>
      <c r="E33" s="9" t="s">
        <v>415</v>
      </c>
      <c r="F33" s="9" t="s">
        <v>689</v>
      </c>
      <c r="G33" s="9" t="s">
        <v>779</v>
      </c>
    </row>
    <row r="34" customFormat="false" ht="35.05" hidden="false" customHeight="false" outlineLevel="0" collapsed="false">
      <c r="A34" s="48" t="s">
        <v>780</v>
      </c>
      <c r="B34" s="48" t="s">
        <v>781</v>
      </c>
      <c r="C34" s="48" t="s">
        <v>782</v>
      </c>
      <c r="D34" s="48" t="s">
        <v>415</v>
      </c>
      <c r="E34" s="48" t="s">
        <v>415</v>
      </c>
      <c r="F34" s="48" t="s">
        <v>526</v>
      </c>
      <c r="G34" s="48" t="s">
        <v>783</v>
      </c>
    </row>
    <row r="35" customFormat="false" ht="46.25" hidden="false" customHeight="false" outlineLevel="0" collapsed="false">
      <c r="A35" s="9" t="s">
        <v>90</v>
      </c>
      <c r="B35" s="9" t="s">
        <v>784</v>
      </c>
      <c r="C35" s="9" t="s">
        <v>785</v>
      </c>
      <c r="D35" s="9" t="s">
        <v>786</v>
      </c>
      <c r="E35" s="9" t="s">
        <v>787</v>
      </c>
      <c r="F35" s="9" t="s">
        <v>788</v>
      </c>
      <c r="G35" s="9" t="s">
        <v>789</v>
      </c>
    </row>
    <row r="36" customFormat="false" ht="46.25" hidden="false" customHeight="false" outlineLevel="0" collapsed="false">
      <c r="A36" s="48" t="s">
        <v>90</v>
      </c>
      <c r="B36" s="48" t="s">
        <v>790</v>
      </c>
      <c r="C36" s="48" t="s">
        <v>791</v>
      </c>
      <c r="D36" s="48" t="s">
        <v>792</v>
      </c>
      <c r="E36" s="48" t="s">
        <v>793</v>
      </c>
      <c r="F36" s="48" t="s">
        <v>794</v>
      </c>
      <c r="G36" s="48" t="s">
        <v>795</v>
      </c>
    </row>
    <row r="37" customFormat="false" ht="35.05" hidden="false" customHeight="false" outlineLevel="0" collapsed="false">
      <c r="A37" s="9" t="s">
        <v>90</v>
      </c>
      <c r="B37" s="9" t="s">
        <v>796</v>
      </c>
      <c r="C37" s="9" t="s">
        <v>797</v>
      </c>
      <c r="D37" s="9" t="s">
        <v>798</v>
      </c>
      <c r="E37" s="9" t="s">
        <v>799</v>
      </c>
      <c r="F37" s="9" t="s">
        <v>800</v>
      </c>
      <c r="G37" s="9" t="s">
        <v>801</v>
      </c>
    </row>
    <row r="38" customFormat="false" ht="35.05" hidden="false" customHeight="false" outlineLevel="0" collapsed="false">
      <c r="A38" s="48" t="s">
        <v>90</v>
      </c>
      <c r="B38" s="48" t="s">
        <v>802</v>
      </c>
      <c r="C38" s="48" t="s">
        <v>803</v>
      </c>
      <c r="D38" s="48" t="s">
        <v>804</v>
      </c>
      <c r="E38" s="48" t="s">
        <v>805</v>
      </c>
      <c r="F38" s="48" t="s">
        <v>806</v>
      </c>
      <c r="G38" s="48" t="s">
        <v>807</v>
      </c>
    </row>
    <row r="39" customFormat="false" ht="23.85" hidden="false" customHeight="false" outlineLevel="0" collapsed="false">
      <c r="A39" s="9" t="s">
        <v>90</v>
      </c>
      <c r="B39" s="9" t="s">
        <v>808</v>
      </c>
      <c r="C39" s="9" t="s">
        <v>809</v>
      </c>
      <c r="D39" s="9" t="s">
        <v>810</v>
      </c>
      <c r="E39" s="9" t="s">
        <v>811</v>
      </c>
      <c r="F39" s="9" t="s">
        <v>806</v>
      </c>
      <c r="G39" s="9" t="s">
        <v>812</v>
      </c>
    </row>
    <row r="40" customFormat="false" ht="23.85" hidden="false" customHeight="false" outlineLevel="0" collapsed="false">
      <c r="A40" s="48" t="s">
        <v>90</v>
      </c>
      <c r="B40" s="48" t="s">
        <v>813</v>
      </c>
      <c r="C40" s="48" t="s">
        <v>814</v>
      </c>
      <c r="D40" s="48" t="s">
        <v>415</v>
      </c>
      <c r="E40" s="48" t="s">
        <v>415</v>
      </c>
      <c r="F40" s="48" t="s">
        <v>815</v>
      </c>
      <c r="G40" s="48" t="s">
        <v>816</v>
      </c>
    </row>
    <row r="41" customFormat="false" ht="23.85" hidden="false" customHeight="false" outlineLevel="0" collapsed="false">
      <c r="A41" s="9" t="s">
        <v>90</v>
      </c>
      <c r="B41" s="9" t="s">
        <v>701</v>
      </c>
      <c r="C41" s="9" t="s">
        <v>415</v>
      </c>
      <c r="D41" s="9" t="s">
        <v>817</v>
      </c>
      <c r="E41" s="9" t="s">
        <v>415</v>
      </c>
      <c r="F41" s="9" t="s">
        <v>415</v>
      </c>
      <c r="G41" s="9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819</v>
      </c>
    </row>
    <row r="2" customFormat="false" ht="15" hidden="false" customHeight="false" outlineLevel="0" collapsed="false">
      <c r="A2" s="2" t="s">
        <v>820</v>
      </c>
    </row>
    <row r="4" customFormat="false" ht="31.5" hidden="false" customHeight="true" outlineLevel="0" collapsed="false">
      <c r="A4" s="3" t="s">
        <v>821</v>
      </c>
      <c r="B4" s="3" t="s">
        <v>822</v>
      </c>
      <c r="C4" s="3" t="s">
        <v>823</v>
      </c>
    </row>
    <row r="5" customFormat="false" ht="23.85" hidden="false" customHeight="false" outlineLevel="0" collapsed="false">
      <c r="A5" s="26" t="n">
        <v>1</v>
      </c>
      <c r="B5" s="9" t="s">
        <v>824</v>
      </c>
      <c r="C5" s="9" t="s">
        <v>825</v>
      </c>
    </row>
    <row r="6" customFormat="false" ht="15" hidden="false" customHeight="false" outlineLevel="0" collapsed="false">
      <c r="A6" s="35" t="n">
        <v>2</v>
      </c>
      <c r="B6" s="48" t="s">
        <v>826</v>
      </c>
      <c r="C6" s="48" t="s">
        <v>827</v>
      </c>
    </row>
    <row r="7" customFormat="false" ht="15" hidden="false" customHeight="false" outlineLevel="0" collapsed="false">
      <c r="A7" s="26" t="n">
        <v>3</v>
      </c>
      <c r="B7" s="9" t="s">
        <v>828</v>
      </c>
      <c r="C7" s="9" t="s">
        <v>829</v>
      </c>
    </row>
    <row r="8" customFormat="false" ht="15" hidden="false" customHeight="false" outlineLevel="0" collapsed="false">
      <c r="A8" s="35" t="n">
        <v>4</v>
      </c>
      <c r="B8" s="48" t="s">
        <v>830</v>
      </c>
      <c r="C8" s="48" t="s">
        <v>831</v>
      </c>
    </row>
    <row r="9" customFormat="false" ht="15" hidden="false" customHeight="false" outlineLevel="0" collapsed="false">
      <c r="A9" s="26" t="n">
        <v>5</v>
      </c>
      <c r="B9" s="9" t="s">
        <v>832</v>
      </c>
      <c r="C9" s="9" t="s">
        <v>833</v>
      </c>
    </row>
    <row r="10" customFormat="false" ht="15" hidden="false" customHeight="false" outlineLevel="0" collapsed="false">
      <c r="A10" s="35" t="n">
        <v>6</v>
      </c>
      <c r="B10" s="48" t="s">
        <v>834</v>
      </c>
      <c r="C10" s="48" t="s">
        <v>835</v>
      </c>
    </row>
    <row r="11" customFormat="false" ht="15" hidden="false" customHeight="false" outlineLevel="0" collapsed="false">
      <c r="A11" s="26" t="n">
        <v>7</v>
      </c>
      <c r="B11" s="9" t="s">
        <v>836</v>
      </c>
      <c r="C11" s="9" t="s">
        <v>837</v>
      </c>
    </row>
    <row r="12" customFormat="false" ht="15" hidden="false" customHeight="false" outlineLevel="0" collapsed="false">
      <c r="A12" s="35" t="n">
        <v>8</v>
      </c>
      <c r="B12" s="48" t="s">
        <v>838</v>
      </c>
      <c r="C12" s="48" t="s">
        <v>839</v>
      </c>
    </row>
    <row r="13" customFormat="false" ht="15" hidden="false" customHeight="false" outlineLevel="0" collapsed="false">
      <c r="A13" s="26" t="n">
        <v>9</v>
      </c>
      <c r="B13" s="9" t="s">
        <v>840</v>
      </c>
      <c r="C13" s="9" t="s">
        <v>841</v>
      </c>
    </row>
    <row r="14" customFormat="false" ht="15" hidden="false" customHeight="false" outlineLevel="0" collapsed="false">
      <c r="A14" s="35" t="n">
        <v>10</v>
      </c>
      <c r="B14" s="48" t="s">
        <v>842</v>
      </c>
      <c r="C14" s="48" t="s">
        <v>843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844</v>
      </c>
    </row>
    <row r="2" customFormat="false" ht="15" hidden="false" customHeight="false" outlineLevel="0" collapsed="false">
      <c r="A2" s="2" t="s">
        <v>845</v>
      </c>
    </row>
    <row r="4" customFormat="false" ht="31.5" hidden="false" customHeight="true" outlineLevel="0" collapsed="false">
      <c r="A4" s="3" t="s">
        <v>846</v>
      </c>
      <c r="B4" s="3" t="s">
        <v>847</v>
      </c>
      <c r="C4" s="3" t="s">
        <v>848</v>
      </c>
    </row>
    <row r="5" customFormat="false" ht="23.85" hidden="false" customHeight="false" outlineLevel="0" collapsed="false">
      <c r="A5" s="9" t="s">
        <v>565</v>
      </c>
      <c r="B5" s="9" t="s">
        <v>849</v>
      </c>
      <c r="C5" s="33" t="s">
        <v>216</v>
      </c>
    </row>
    <row r="6" customFormat="false" ht="15" hidden="false" customHeight="false" outlineLevel="0" collapsed="false">
      <c r="A6" s="48" t="s">
        <v>565</v>
      </c>
      <c r="B6" s="48" t="s">
        <v>850</v>
      </c>
      <c r="C6" s="33" t="s">
        <v>216</v>
      </c>
    </row>
    <row r="7" customFormat="false" ht="15" hidden="false" customHeight="false" outlineLevel="0" collapsed="false">
      <c r="A7" s="9" t="s">
        <v>851</v>
      </c>
      <c r="B7" s="9" t="s">
        <v>852</v>
      </c>
      <c r="C7" s="33" t="s">
        <v>216</v>
      </c>
    </row>
    <row r="8" customFormat="false" ht="15" hidden="false" customHeight="false" outlineLevel="0" collapsed="false">
      <c r="A8" s="48" t="s">
        <v>853</v>
      </c>
      <c r="B8" s="48" t="s">
        <v>854</v>
      </c>
      <c r="C8" s="33" t="s">
        <v>216</v>
      </c>
    </row>
    <row r="9" customFormat="false" ht="15" hidden="false" customHeight="false" outlineLevel="0" collapsed="false">
      <c r="A9" s="9" t="s">
        <v>853</v>
      </c>
      <c r="B9" s="9" t="s">
        <v>855</v>
      </c>
      <c r="C9" s="33" t="s">
        <v>216</v>
      </c>
    </row>
    <row r="10" customFormat="false" ht="15" hidden="false" customHeight="false" outlineLevel="0" collapsed="false">
      <c r="A10" s="48" t="s">
        <v>856</v>
      </c>
      <c r="B10" s="48" t="s">
        <v>857</v>
      </c>
      <c r="C10" s="33" t="s">
        <v>216</v>
      </c>
    </row>
    <row r="11" customFormat="false" ht="15" hidden="false" customHeight="false" outlineLevel="0" collapsed="false">
      <c r="A11" s="9" t="s">
        <v>856</v>
      </c>
      <c r="B11" s="9" t="s">
        <v>858</v>
      </c>
      <c r="C11" s="33" t="s">
        <v>216</v>
      </c>
    </row>
    <row r="12" customFormat="false" ht="15" hidden="false" customHeight="false" outlineLevel="0" collapsed="false">
      <c r="A12" s="48" t="s">
        <v>859</v>
      </c>
      <c r="B12" s="48" t="s">
        <v>860</v>
      </c>
      <c r="C12" s="33" t="s">
        <v>216</v>
      </c>
    </row>
    <row r="13" customFormat="false" ht="15" hidden="false" customHeight="false" outlineLevel="0" collapsed="false">
      <c r="A13" s="9" t="s">
        <v>861</v>
      </c>
      <c r="B13" s="9" t="s">
        <v>862</v>
      </c>
      <c r="C13" s="33" t="s">
        <v>216</v>
      </c>
    </row>
    <row r="14" customFormat="false" ht="15" hidden="false" customHeight="false" outlineLevel="0" collapsed="false">
      <c r="A14" s="48" t="s">
        <v>863</v>
      </c>
      <c r="B14" s="48" t="s">
        <v>864</v>
      </c>
      <c r="C14" s="33" t="s">
        <v>216</v>
      </c>
    </row>
    <row r="15" customFormat="false" ht="15" hidden="false" customHeight="false" outlineLevel="0" collapsed="false">
      <c r="A15" s="9" t="s">
        <v>865</v>
      </c>
      <c r="B15" s="9" t="s">
        <v>866</v>
      </c>
      <c r="C15" s="33" t="s">
        <v>216</v>
      </c>
    </row>
    <row r="16" customFormat="false" ht="15" hidden="false" customHeight="false" outlineLevel="0" collapsed="false">
      <c r="A16" s="48" t="s">
        <v>865</v>
      </c>
      <c r="B16" s="48" t="s">
        <v>867</v>
      </c>
      <c r="C16" s="33" t="s">
        <v>216</v>
      </c>
    </row>
    <row r="17" customFormat="false" ht="15" hidden="false" customHeight="false" outlineLevel="0" collapsed="false">
      <c r="A17" s="9" t="s">
        <v>868</v>
      </c>
      <c r="B17" s="9" t="s">
        <v>869</v>
      </c>
      <c r="C17" s="33" t="s">
        <v>216</v>
      </c>
    </row>
    <row r="18" customFormat="false" ht="15" hidden="false" customHeight="false" outlineLevel="0" collapsed="false">
      <c r="A18" s="48" t="s">
        <v>870</v>
      </c>
      <c r="B18" s="48" t="s">
        <v>871</v>
      </c>
      <c r="C18" s="33" t="s">
        <v>216</v>
      </c>
    </row>
    <row r="19" customFormat="false" ht="15" hidden="false" customHeight="false" outlineLevel="0" collapsed="false">
      <c r="A19" s="9" t="s">
        <v>755</v>
      </c>
      <c r="B19" s="9" t="s">
        <v>872</v>
      </c>
      <c r="C19" s="33" t="s">
        <v>216</v>
      </c>
    </row>
    <row r="20" customFormat="false" ht="15" hidden="false" customHeight="false" outlineLevel="0" collapsed="false">
      <c r="A20" s="48" t="s">
        <v>755</v>
      </c>
      <c r="B20" s="48" t="s">
        <v>873</v>
      </c>
      <c r="C20" s="33" t="s">
        <v>216</v>
      </c>
    </row>
    <row r="21" customFormat="false" ht="15" hidden="false" customHeight="false" outlineLevel="0" collapsed="false">
      <c r="A21" s="9" t="s">
        <v>874</v>
      </c>
      <c r="B21" s="9" t="s">
        <v>875</v>
      </c>
      <c r="C21" s="33" t="s">
        <v>216</v>
      </c>
    </row>
    <row r="22" customFormat="false" ht="15" hidden="false" customHeight="false" outlineLevel="0" collapsed="false">
      <c r="A22" s="48" t="s">
        <v>876</v>
      </c>
      <c r="B22" s="48" t="s">
        <v>877</v>
      </c>
      <c r="C22" s="33" t="s">
        <v>216</v>
      </c>
    </row>
    <row r="23" customFormat="false" ht="15" hidden="false" customHeight="false" outlineLevel="0" collapsed="false">
      <c r="A23" s="9" t="s">
        <v>878</v>
      </c>
      <c r="B23" s="9" t="s">
        <v>879</v>
      </c>
      <c r="C23" s="33" t="s">
        <v>216</v>
      </c>
    </row>
    <row r="24" customFormat="false" ht="15" hidden="false" customHeight="false" outlineLevel="0" collapsed="false">
      <c r="A24" s="48" t="s">
        <v>878</v>
      </c>
      <c r="B24" s="48" t="s">
        <v>880</v>
      </c>
      <c r="C24" s="33" t="s">
        <v>216</v>
      </c>
    </row>
    <row r="25" customFormat="false" ht="15" hidden="false" customHeight="false" outlineLevel="0" collapsed="false">
      <c r="A25" s="9" t="s">
        <v>878</v>
      </c>
      <c r="B25" s="9" t="s">
        <v>881</v>
      </c>
      <c r="C25" s="33" t="s">
        <v>216</v>
      </c>
    </row>
    <row r="26" customFormat="false" ht="15" hidden="false" customHeight="false" outlineLevel="0" collapsed="false">
      <c r="A26" s="48" t="s">
        <v>878</v>
      </c>
      <c r="B26" s="48" t="s">
        <v>882</v>
      </c>
      <c r="C26" s="33" t="s">
        <v>216</v>
      </c>
    </row>
    <row r="27" customFormat="false" ht="15" hidden="false" customHeight="false" outlineLevel="0" collapsed="false">
      <c r="A27" s="9" t="s">
        <v>878</v>
      </c>
      <c r="B27" s="9" t="s">
        <v>883</v>
      </c>
      <c r="C27" s="33" t="s">
        <v>216</v>
      </c>
    </row>
    <row r="28" customFormat="false" ht="15" hidden="false" customHeight="false" outlineLevel="0" collapsed="false">
      <c r="A28" s="48" t="s">
        <v>884</v>
      </c>
      <c r="B28" s="48" t="s">
        <v>885</v>
      </c>
      <c r="C28" s="33" t="s">
        <v>216</v>
      </c>
    </row>
    <row r="29" customFormat="false" ht="15" hidden="false" customHeight="false" outlineLevel="0" collapsed="false">
      <c r="A29" s="9" t="s">
        <v>886</v>
      </c>
      <c r="B29" s="9" t="s">
        <v>887</v>
      </c>
      <c r="C29" s="33" t="s">
        <v>216</v>
      </c>
    </row>
    <row r="30" customFormat="false" ht="15" hidden="false" customHeight="false" outlineLevel="0" collapsed="false">
      <c r="A30" s="48" t="s">
        <v>886</v>
      </c>
      <c r="B30" s="48" t="s">
        <v>888</v>
      </c>
      <c r="C30" s="33" t="s">
        <v>216</v>
      </c>
    </row>
    <row r="31" customFormat="false" ht="15" hidden="false" customHeight="false" outlineLevel="0" collapsed="false">
      <c r="A31" s="9" t="s">
        <v>889</v>
      </c>
      <c r="B31" s="9" t="s">
        <v>890</v>
      </c>
      <c r="C31" s="33" t="s">
        <v>216</v>
      </c>
    </row>
    <row r="32" customFormat="false" ht="15" hidden="false" customHeight="false" outlineLevel="0" collapsed="false">
      <c r="A32" s="48" t="s">
        <v>891</v>
      </c>
      <c r="B32" s="48" t="s">
        <v>892</v>
      </c>
      <c r="C32" s="33" t="s">
        <v>216</v>
      </c>
    </row>
    <row r="33" customFormat="false" ht="15" hidden="false" customHeight="false" outlineLevel="0" collapsed="false">
      <c r="A33" s="9" t="s">
        <v>891</v>
      </c>
      <c r="B33" s="9" t="s">
        <v>893</v>
      </c>
      <c r="C33" s="33" t="s">
        <v>216</v>
      </c>
    </row>
    <row r="34" customFormat="false" ht="15" hidden="false" customHeight="false" outlineLevel="0" collapsed="false">
      <c r="A34" s="48" t="s">
        <v>894</v>
      </c>
      <c r="B34" s="48" t="s">
        <v>895</v>
      </c>
      <c r="C34" s="33" t="s">
        <v>216</v>
      </c>
    </row>
    <row r="35" customFormat="false" ht="15" hidden="false" customHeight="false" outlineLevel="0" collapsed="false">
      <c r="A35" s="9" t="s">
        <v>896</v>
      </c>
      <c r="B35" s="9" t="s">
        <v>897</v>
      </c>
      <c r="C35" s="33" t="s">
        <v>216</v>
      </c>
    </row>
    <row r="36" customFormat="false" ht="15" hidden="false" customHeight="false" outlineLevel="0" collapsed="false">
      <c r="A36" s="48" t="s">
        <v>898</v>
      </c>
      <c r="B36" s="48" t="s">
        <v>899</v>
      </c>
      <c r="C36" s="33" t="s">
        <v>216</v>
      </c>
    </row>
    <row r="37" customFormat="false" ht="15" hidden="false" customHeight="false" outlineLevel="0" collapsed="false">
      <c r="A37" s="9" t="s">
        <v>900</v>
      </c>
      <c r="B37" s="9" t="s">
        <v>901</v>
      </c>
      <c r="C37" s="33" t="s">
        <v>216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2026-10-19T00:24:30Z</dcterms:created>
  <dc:creator>openpyxl</dc:creator>
  <dc:description/>
  <dc:language>en-US</dc:language>
  <cp:lastModifiedBy/>
  <dcterms:modified xsi:type="dcterms:W3CDTF">2026-10-19T00:24:30Z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