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Down Pmt Scenarios" sheetId="6" state="visible" r:id="rId8"/>
    <sheet name="Other SWFL Markets" sheetId="7" state="visible" r:id="rId9"/>
    <sheet name="STR Rules" sheetId="8" state="visible" r:id="rId10"/>
    <sheet name="Diligence Checklist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sharedStrings.xml><?xml version="1.0" encoding="utf-8"?>
<sst xmlns="http://schemas.openxmlformats.org/spreadsheetml/2006/main" count="1156" uniqueCount="708">
  <si>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</si>
  <si>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</si>
  <si>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</si>
  <si>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</si>
  <si>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</si>
  <si>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</si>
  <si>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</si>
  <si>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</si>
  <si>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</si>
  <si>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</si>
  <si>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</si>
  <si>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</si>
  <si>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</si>
  <si>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</si>
  <si>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</si>
  <si>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</si>
  <si>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</si>
  <si>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</si>
  <si>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</si>
  <si>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</si>
  <si>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</si>
  <si>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</si>
  <si>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</si>
  <si>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</si>
  <si>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</si>
  <si>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</si>
  <si>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</si>
  <si>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</si>
  <si>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</si>
  <si>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</si>
  <si>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</si>
  <si>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</si>
  <si>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</si>
  <si>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</si>
  <si>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</si>
  <si>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</si>
  <si>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</si>
  <si>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</si>
  <si>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</si>
  <si>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</si>
  <si>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</si>
  <si>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</si>
  <si>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</si>
  <si>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</si>
  <si>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</si>
  <si>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</si>
  <si>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</si>
  <si>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</si>
  <si>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</si>
  <si>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</si>
  <si>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</si>
  <si>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</si>
  <si>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</si>
  <si>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</si>
  <si>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</si>
  <si>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</si>
  <si>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</si>
  <si>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</si>
  <si>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</si>
  <si>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</si>
  <si>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</si>
  <si>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</si>
  <si>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</si>
  <si>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</si>
  <si>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</si>
  <si>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</si>
  <si>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</si>
  <si>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</si>
  <si>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</si>
  <si>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</si>
  <si>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</si>
  <si>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</si>
  <si>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</si>
  <si>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</si>
  <si>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</si>
  <si>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</si>
  <si>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</si>
  <si>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</si>
  <si>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</si>
  <si>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</si>
  <si>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</si>
  <si>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</si>
  <si>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</si>
  <si>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</si>
  <si>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</si>
  <si>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</si>
  <si>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</si>
  <si>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</si>
  <si>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</si>
  <si>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</si>
  <si>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</si>
  <si>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</si>
  <si>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</si>
  <si>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</si>
  <si>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</si>
  <si>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</si>
  <si>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</si>
  <si>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</si>
  <si>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</si>
  <si>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</si>
  <si>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</si>
  <si>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</si>
  <si>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</si>
  <si>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</si>
  <si>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</si>
  <si>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</si>
  <si>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</si>
  <si>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</si>
  <si>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</si>
  <si>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</si>
  <si>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</si>
  <si>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</si>
  <si>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</si>
  <si>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</si>
  <si>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</si>
  <si>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</si>
  <si>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</si>
  <si>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</si>
  <si>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</si>
  <si>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</si>
  <si>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</si>
  <si>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</si>
  <si>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</si>
  <si>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</si>
  <si>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</si>
  <si>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</si>
  <si>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</si>
  <si>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</si>
  <si>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</si>
  <si>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</si>
  <si>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</si>
  <si>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</si>
  <si>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</si>
  <si>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</si>
  <si>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</si>
  <si>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</si>
  <si>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</si>
  <si>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</si>
  <si>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</si>
  <si>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</si>
  <si>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</si>
  <si>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</si>
  <si>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</si>
  <si>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</si>
  <si>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</si>
  <si>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</si>
  <si>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</si>
  <si>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</si>
  <si>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</si>
  <si>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</si>
  <si>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</si>
  <si>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</si>
  <si>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</si>
  <si>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</si>
  <si>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</si>
  <si>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</si>
  <si>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</si>
  <si>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</si>
  <si>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</si>
  <si>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</si>
  <si>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</si>
  <si>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</si>
  <si>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</si>
  <si>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</si>
  <si>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</si>
  <si>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</si>
  <si>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</si>
  <si>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</si>
  <si>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</si>
  <si>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</si>
  <si>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</si>
  <si>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</si>
  <si>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</si>
  <si>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</si>
  <si>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</si>
  <si>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</si>
  <si>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</si>
  <si>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</si>
  <si>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</si>
  <si>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</si>
  <si>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</si>
  <si>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</si>
  <si>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</si>
  <si>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</si>
  <si>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</si>
  <si>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</si>
  <si>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</si>
  <si>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</si>
  <si>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</si>
  <si>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</si>
  <si>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</si>
  <si>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</si>
  <si>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</si>
  <si>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</si>
  <si>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</si>
  <si>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</si>
  <si>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</si>
  <si>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</si>
  <si>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</si>
  <si>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</si>
  <si>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</si>
  <si>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</si>
  <si>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</si>
  <si>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</si>
  <si>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</si>
  <si>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</si>
  <si>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</si>
  <si>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</si>
  <si>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</si>
  <si>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</si>
  <si>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</si>
  <si>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</si>
  <si>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</si>
  <si>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</si>
  <si>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</si>
  <si>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</si>
  <si>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</si>
  <si>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</si>
  <si>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</si>
  <si>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</si>
  <si>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</si>
  <si>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</si>
  <si>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</si>
  <si>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</si>
  <si>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</si>
  <si>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</si>
  <si>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</si>
  <si>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</si>
  <si>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</si>
  <si>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</si>
  <si>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</si>
  <si>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</si>
  <si>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</si>
  <si>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</si>
  <si>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</si>
  <si>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</si>
  <si>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</si>
  <si>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</si>
  <si>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</si>
  <si>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</si>
  <si>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</si>
  <si>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</si>
  <si>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</si>
  <si>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</si>
  <si>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</si>
  <si>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</si>
  <si>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</si>
  <si>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</si>
  <si>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</si>
  <si>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</si>
  <si>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</si>
  <si>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</si>
  <si>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</si>
  <si>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</si>
  <si>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</si>
  <si>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</si>
  <si>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</si>
  <si>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</si>
  <si>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</si>
  <si>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</si>
  <si>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</si>
  <si>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</si>
  <si>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</si>
  <si>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</si>
  <si>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</si>
  <si>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</si>
  <si>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</si>
  <si>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</si>
  <si>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</si>
  <si>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</si>
  <si>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</si>
  <si>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</si>
  <si>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</si>
  <si>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</si>
  <si>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</si>
  <si>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</si>
  <si>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</si>
  <si>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</si>
  <si>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</si>
  <si>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</si>
  <si>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</si>
  <si>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</si>
  <si>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</si>
  <si>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</si>
  <si>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</si>
  <si>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</si>
  <si>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</si>
  <si>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</si>
  <si>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</si>
  <si>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</si>
  <si>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</si>
  <si>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</si>
  <si>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</si>
  <si>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</si>
  <si>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</si>
  <si>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</si>
  <si>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</si>
  <si>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</si>
  <si>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</si>
  <si>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</si>
  <si>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</si>
  <si>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</si>
  <si>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</si>
  <si>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</si>
  <si>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</si>
  <si>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</si>
  <si>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</si>
  <si>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</si>
  <si>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</si>
  <si>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</si>
  <si>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</si>
  <si>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</si>
  <si>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</si>
  <si>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</si>
  <si>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</si>
  <si>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</si>
  <si>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</si>
  <si>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</si>
  <si>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</si>
  <si>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</si>
  <si>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</si>
  <si>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</si>
  <si>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</si>
  <si>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2712 SW 4th Pl</t>
  </si>
  <si>
    <t xml:space="preserve">Cape Coral 33914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</si>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</sst>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zillow.com/homedetails/2712-SW-4th-Place-Cpe-Coral-FL-33914/455169853_zpid/" TargetMode="External"/><Relationship Id="rId5" Type="http://schemas.openxmlformats.org/officeDocument/2006/relationships/hyperlink" Target="https://www.zillow.com/homedetails/1433-SE-28th-Ter-Cape-Coral-FL-33904/45531122_zpid/" TargetMode="External"/><Relationship Id="rId6" Type="http://schemas.openxmlformats.org/officeDocument/2006/relationships/hyperlink" Target="https://www.zillow.com/homedetails/4928-SW-1st-Ct-Cape-Coral-FL-33914/45441067_zpid/" TargetMode="External"/><Relationship Id="rId7" Type="http://schemas.openxmlformats.org/officeDocument/2006/relationships/hyperlink" Target="https://www.zillow.com/homedetails/2917-SW-Santa-Barbara-Pl-Cape-Coral-FL-33914/464974095_zpid/" TargetMode="External"/><Relationship Id="rId8" Type="http://schemas.openxmlformats.org/officeDocument/2006/relationships/hyperlink" Target="https://www.zillow.com/homedetails/3106-SE-8th-Pl-Cape-Coral-FL-33904/45531851_zpid/" TargetMode="External"/><Relationship Id="rId9" Type="http://schemas.openxmlformats.org/officeDocument/2006/relationships/hyperlink" Target="https://www.zillow.com/homedetails/1768-Whiskey-Creek-Dr-Fort-Myers-FL-33919/45446493_zpid/" TargetMode="External"/><Relationship Id="rId10" Type="http://schemas.openxmlformats.org/officeDocument/2006/relationships/hyperlink" Target="https://www.zillow.com/homedetails/951-Lassino-Ct-Punta-Gorda-FL-33950/43578868_zpid/" TargetMode="External"/><Relationship Id="rId11" Type="http://schemas.openxmlformats.org/officeDocument/2006/relationships/hyperlink" Target="https://www.zillow.com/homedetails/9277-Saint-Catherine-Ave-Englewood-FL-34224/43561455_zpid/" TargetMode="External"/><Relationship Id="rId12" Type="http://schemas.openxmlformats.org/officeDocument/2006/relationships/hyperlink" Target="https://www.zillow.com/homedetails/59-Wickliffe-Dr-Naples-FL-34110/43804624_zpid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pinellas.gov/short-term-rental-certificate-of-use-faqs/" TargetMode="External"/><Relationship Id="rId12" Type="http://schemas.openxmlformats.org/officeDocument/2006/relationships/hyperlink" Target="https://www.mytreasureisland.org/residents/departments/community_development/short_term_rental_information.php" TargetMode="External"/><Relationship Id="rId13" Type="http://schemas.openxmlformats.org/officeDocument/2006/relationships/hyperlink" Target="https://www.wusf.org/economy-business/2026-07-29/record-spring-fuels-pinellas-county-tourism-growth" TargetMode="External"/><Relationship Id="rId14" Type="http://schemas.openxmlformats.org/officeDocument/2006/relationships/hyperlink" Target="https://pinellasrealtor.org/wp-content/uploads/2026/08/Pinellas-STAR-Monthly-Statistics-July-2026.pdf" TargetMode="External"/><Relationship Id="rId15" Type="http://schemas.openxmlformats.org/officeDocument/2006/relationships/hyperlink" Target="https://www.airroi.com/airbnb-data/united-states/florida/cape-coral" TargetMode="External"/><Relationship Id="rId16" Type="http://schemas.openxmlformats.org/officeDocument/2006/relationships/hyperlink" Target="https://www.capecoral.gov/news_detail_T4_R565.php" TargetMode="External"/><Relationship Id="rId17" Type="http://schemas.openxmlformats.org/officeDocument/2006/relationships/hyperlink" Target="https://www.fgcu.edu/cob/reri/dashboard/tourist-tax-revenues" TargetMode="External"/><Relationship Id="rId18" Type="http://schemas.openxmlformats.org/officeDocument/2006/relationships/hyperlink" Target="https://www.naplesgov.com/faqs/all/56161" TargetMode="External"/><Relationship Id="rId19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-3831.68451483207</v>
      </c>
      <c r="K5" s="6" t="n">
        <f aca="false">'Manatee-Sarasota'!$AE$6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-2432.09799432634</v>
      </c>
      <c r="K6" s="6" t="n">
        <f aca="false">'Manatee-Sarasota'!$AE$7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-4207.51912303436</v>
      </c>
      <c r="K7" s="6" t="n">
        <f aca="false">'Manatee-Sarasota'!$AE$8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-7966.99462445278</v>
      </c>
      <c r="K8" s="6" t="n">
        <f aca="false">Pinellas!$AE$6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1413.00537554723</v>
      </c>
      <c r="K9" s="6" t="n">
        <f aca="false">Pinellas!$AE$7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-8344.59416971947</v>
      </c>
      <c r="K10" s="6" t="n">
        <f aca="false">Pinellas!$AE$8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-13862.0979943264</v>
      </c>
      <c r="K11" s="6" t="n">
        <f aca="false">'Other SWFL Listings'!$AE$6</f>
        <v>-25862.0979943264</v>
      </c>
      <c r="L11" s="9" t="s">
        <v>23</v>
      </c>
    </row>
    <row r="13" customFormat="false" ht="15" hidden="false" customHeight="false" outlineLevel="0" collapsed="false">
      <c r="A13" s="10" t="s">
        <v>24</v>
      </c>
    </row>
    <row r="14" customFormat="false" ht="27.75" hidden="false" customHeight="true" outlineLevel="0" collapsed="false">
      <c r="A14" s="11" t="s">
        <v>25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27.75" hidden="false" customHeight="true" outlineLevel="0" collapsed="false">
      <c r="A15" s="11" t="s">
        <v>26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27.75" hidden="false" customHeight="true" outlineLevel="0" collapsed="false">
      <c r="A16" s="11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29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30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</sheetData>
  <mergeCells count="6">
    <mergeCell ref="A14:L14"/>
    <mergeCell ref="A15:L15"/>
    <mergeCell ref="A16:L16"/>
    <mergeCell ref="A17:L17"/>
    <mergeCell ref="A18:L18"/>
    <mergeCell ref="A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31</v>
      </c>
    </row>
    <row r="2" customFormat="false" ht="15" hidden="false" customHeight="false" outlineLevel="0" collapsed="false">
      <c r="B2" s="2" t="s">
        <v>32</v>
      </c>
    </row>
    <row r="4" customFormat="false" ht="15" hidden="false" customHeight="false" outlineLevel="0" collapsed="false">
      <c r="B4" s="12" t="s">
        <v>33</v>
      </c>
      <c r="C4" s="12" t="s">
        <v>34</v>
      </c>
      <c r="I4" s="12" t="s">
        <v>35</v>
      </c>
    </row>
    <row r="5" customFormat="false" ht="15" hidden="false" customHeight="false" outlineLevel="0" collapsed="false">
      <c r="B5" s="4" t="s">
        <v>36</v>
      </c>
      <c r="C5" s="13" t="n">
        <v>800</v>
      </c>
      <c r="I5" s="14" t="s">
        <v>37</v>
      </c>
    </row>
    <row r="6" customFormat="false" ht="15" hidden="false" customHeight="false" outlineLevel="0" collapsed="false">
      <c r="B6" s="4" t="s">
        <v>38</v>
      </c>
      <c r="C6" s="15" t="n">
        <v>150000</v>
      </c>
      <c r="I6" s="14" t="s">
        <v>39</v>
      </c>
    </row>
    <row r="7" customFormat="false" ht="15" hidden="false" customHeight="false" outlineLevel="0" collapsed="false">
      <c r="B7" s="4" t="s">
        <v>40</v>
      </c>
      <c r="C7" s="15" t="n">
        <v>550000</v>
      </c>
      <c r="I7" s="14" t="s">
        <v>41</v>
      </c>
    </row>
    <row r="8" customFormat="false" ht="15" hidden="false" customHeight="false" outlineLevel="0" collapsed="false">
      <c r="B8" s="4" t="s">
        <v>42</v>
      </c>
      <c r="C8" s="15" t="n">
        <v>60000</v>
      </c>
      <c r="I8" s="14" t="s">
        <v>43</v>
      </c>
    </row>
    <row r="10" customFormat="false" ht="15" hidden="false" customHeight="false" outlineLevel="0" collapsed="false">
      <c r="B10" s="12" t="s">
        <v>44</v>
      </c>
      <c r="C10" s="12" t="s">
        <v>34</v>
      </c>
      <c r="I10" s="12" t="s">
        <v>35</v>
      </c>
    </row>
    <row r="11" customFormat="false" ht="15" hidden="false" customHeight="false" outlineLevel="0" collapsed="false">
      <c r="B11" s="4" t="s">
        <v>45</v>
      </c>
      <c r="C11" s="16" t="n">
        <v>0.075</v>
      </c>
      <c r="I11" s="14" t="s">
        <v>46</v>
      </c>
    </row>
    <row r="12" customFormat="false" ht="15" hidden="false" customHeight="false" outlineLevel="0" collapsed="false">
      <c r="B12" s="4" t="s">
        <v>47</v>
      </c>
      <c r="C12" s="16" t="n">
        <v>0.0725</v>
      </c>
      <c r="I12" s="14" t="s">
        <v>48</v>
      </c>
    </row>
    <row r="13" customFormat="false" ht="15" hidden="false" customHeight="false" outlineLevel="0" collapsed="false">
      <c r="B13" s="4" t="s">
        <v>49</v>
      </c>
      <c r="C13" s="16" t="n">
        <v>0.07125</v>
      </c>
      <c r="I13" s="14" t="s">
        <v>48</v>
      </c>
    </row>
    <row r="14" customFormat="false" ht="15" hidden="false" customHeight="false" outlineLevel="0" collapsed="false">
      <c r="B14" s="4" t="s">
        <v>50</v>
      </c>
      <c r="C14" s="13" t="n">
        <v>360</v>
      </c>
      <c r="I14" s="14" t="s">
        <v>51</v>
      </c>
    </row>
    <row r="15" customFormat="false" ht="15" hidden="false" customHeight="false" outlineLevel="0" collapsed="false">
      <c r="B15" s="4" t="s">
        <v>52</v>
      </c>
      <c r="C15" s="17" t="n">
        <v>0.25</v>
      </c>
      <c r="I15" s="14" t="s">
        <v>53</v>
      </c>
    </row>
    <row r="16" customFormat="false" ht="23.85" hidden="false" customHeight="false" outlineLevel="0" collapsed="false">
      <c r="B16" s="4" t="s">
        <v>54</v>
      </c>
      <c r="C16" s="18" t="n">
        <v>0.04</v>
      </c>
      <c r="I16" s="14" t="s">
        <v>55</v>
      </c>
    </row>
    <row r="17" customFormat="false" ht="15" hidden="false" customHeight="false" outlineLevel="0" collapsed="false">
      <c r="B17" s="4" t="s">
        <v>56</v>
      </c>
      <c r="C17" s="13" t="n">
        <v>6</v>
      </c>
      <c r="I17" s="14" t="s">
        <v>57</v>
      </c>
    </row>
    <row r="18" customFormat="false" ht="23.85" hidden="false" customHeight="false" outlineLevel="0" collapsed="false">
      <c r="B18" s="4" t="s">
        <v>58</v>
      </c>
      <c r="C18" s="18" t="n">
        <v>0.8</v>
      </c>
      <c r="I18" s="14" t="s">
        <v>59</v>
      </c>
    </row>
    <row r="19" customFormat="false" ht="23.85" hidden="false" customHeight="false" outlineLevel="0" collapsed="false">
      <c r="B19" s="4" t="s">
        <v>60</v>
      </c>
      <c r="C19" s="19" t="n">
        <v>7000</v>
      </c>
      <c r="I19" s="14" t="s">
        <v>61</v>
      </c>
    </row>
    <row r="21" customFormat="false" ht="15" hidden="false" customHeight="false" outlineLevel="0" collapsed="false">
      <c r="B21" s="12" t="s">
        <v>62</v>
      </c>
      <c r="C21" s="12" t="s">
        <v>63</v>
      </c>
      <c r="I21" s="12" t="s">
        <v>35</v>
      </c>
    </row>
    <row r="22" customFormat="false" ht="15" hidden="false" customHeight="false" outlineLevel="0" collapsed="false">
      <c r="B22" s="4" t="s">
        <v>64</v>
      </c>
      <c r="C22" s="19" t="n">
        <v>1000</v>
      </c>
      <c r="I22" s="14" t="s">
        <v>65</v>
      </c>
    </row>
    <row r="23" customFormat="false" ht="15" hidden="false" customHeight="false" outlineLevel="0" collapsed="false">
      <c r="B23" s="4" t="s">
        <v>66</v>
      </c>
      <c r="C23" s="19" t="n">
        <v>4500</v>
      </c>
      <c r="I23" s="14" t="s">
        <v>67</v>
      </c>
    </row>
    <row r="24" customFormat="false" ht="15" hidden="false" customHeight="false" outlineLevel="0" collapsed="false">
      <c r="B24" s="4" t="s">
        <v>68</v>
      </c>
      <c r="C24" s="19" t="n">
        <v>9000</v>
      </c>
      <c r="I24" s="14" t="s">
        <v>69</v>
      </c>
    </row>
    <row r="25" customFormat="false" ht="15" hidden="false" customHeight="false" outlineLevel="0" collapsed="false">
      <c r="B25" s="4" t="s">
        <v>70</v>
      </c>
      <c r="C25" s="19" t="n">
        <v>2000</v>
      </c>
      <c r="I25" s="14" t="s">
        <v>71</v>
      </c>
    </row>
    <row r="27" customFormat="false" ht="15" hidden="false" customHeight="false" outlineLevel="0" collapsed="false">
      <c r="B27" s="12" t="s">
        <v>72</v>
      </c>
      <c r="C27" s="12" t="s">
        <v>73</v>
      </c>
      <c r="D27" s="12" t="s">
        <v>74</v>
      </c>
      <c r="I27" s="12" t="s">
        <v>35</v>
      </c>
    </row>
    <row r="28" customFormat="false" ht="15" hidden="false" customHeight="false" outlineLevel="0" collapsed="false">
      <c r="B28" s="4" t="s">
        <v>75</v>
      </c>
      <c r="C28" s="20" t="n">
        <v>0.015</v>
      </c>
      <c r="D28" s="21" t="n">
        <f aca="false">$C$19</f>
        <v>7000</v>
      </c>
      <c r="I28" s="14" t="s">
        <v>76</v>
      </c>
    </row>
    <row r="29" customFormat="false" ht="15" hidden="false" customHeight="false" outlineLevel="0" collapsed="false">
      <c r="B29" s="4" t="s">
        <v>77</v>
      </c>
      <c r="C29" s="20" t="n">
        <v>0.0135</v>
      </c>
      <c r="D29" s="21" t="n">
        <f aca="false">$C$19</f>
        <v>7000</v>
      </c>
      <c r="I29" s="14" t="s">
        <v>78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79</v>
      </c>
    </row>
    <row r="31" customFormat="false" ht="23.85" hidden="false" customHeight="false" outlineLevel="0" collapsed="false">
      <c r="B31" s="4" t="s">
        <v>80</v>
      </c>
      <c r="C31" s="20" t="n">
        <v>0.017</v>
      </c>
      <c r="D31" s="21" t="n">
        <f aca="false">$C$19</f>
        <v>7000</v>
      </c>
      <c r="I31" s="14" t="s">
        <v>81</v>
      </c>
    </row>
    <row r="32" customFormat="false" ht="15" hidden="false" customHeight="false" outlineLevel="0" collapsed="false">
      <c r="B32" s="4" t="s">
        <v>82</v>
      </c>
      <c r="C32" s="20" t="n">
        <v>0.0165</v>
      </c>
      <c r="D32" s="21" t="n">
        <f aca="false">$C$19</f>
        <v>7000</v>
      </c>
      <c r="I32" s="14" t="s">
        <v>83</v>
      </c>
    </row>
    <row r="33" customFormat="false" ht="15" hidden="false" customHeight="false" outlineLevel="0" collapsed="false">
      <c r="B33" s="4" t="s">
        <v>84</v>
      </c>
      <c r="C33" s="20" t="n">
        <v>0.014</v>
      </c>
      <c r="D33" s="21" t="n">
        <f aca="false">$C$19</f>
        <v>7000</v>
      </c>
      <c r="I33" s="14" t="s">
        <v>85</v>
      </c>
    </row>
    <row r="35" customFormat="false" ht="15" hidden="false" customHeight="false" outlineLevel="0" collapsed="false">
      <c r="B35" s="3" t="s">
        <v>86</v>
      </c>
      <c r="C35" s="3" t="s">
        <v>87</v>
      </c>
      <c r="D35" s="3" t="s">
        <v>88</v>
      </c>
      <c r="E35" s="3" t="s">
        <v>89</v>
      </c>
      <c r="F35" s="3" t="s">
        <v>90</v>
      </c>
      <c r="G35" s="3" t="s">
        <v>91</v>
      </c>
      <c r="H35" s="3" t="s">
        <v>92</v>
      </c>
      <c r="I35" s="12" t="s">
        <v>35</v>
      </c>
    </row>
    <row r="36" customFormat="false" ht="23.85" hidden="false" customHeight="false" outlineLevel="0" collapsed="false">
      <c r="B36" s="4" t="s">
        <v>93</v>
      </c>
      <c r="C36" s="18" t="n">
        <v>0.2</v>
      </c>
      <c r="D36" s="18" t="n">
        <v>0.1</v>
      </c>
      <c r="E36" s="18" t="n">
        <v>0.1</v>
      </c>
      <c r="F36" s="18" t="n">
        <v>0.08</v>
      </c>
      <c r="G36" s="18" t="n">
        <v>0.05</v>
      </c>
      <c r="H36" s="22" t="n">
        <f aca="false">SUM(D36:G36)</f>
        <v>0.33</v>
      </c>
      <c r="I36" s="14" t="s">
        <v>94</v>
      </c>
    </row>
    <row r="37" customFormat="false" ht="23.85" hidden="false" customHeight="false" outlineLevel="0" collapsed="false">
      <c r="B37" s="4" t="s">
        <v>95</v>
      </c>
      <c r="C37" s="18" t="n">
        <v>0.12</v>
      </c>
      <c r="D37" s="18" t="n">
        <v>0.02</v>
      </c>
      <c r="E37" s="18" t="n">
        <v>0.03</v>
      </c>
      <c r="F37" s="18" t="n">
        <v>0.06</v>
      </c>
      <c r="G37" s="18" t="n">
        <v>0.05</v>
      </c>
      <c r="H37" s="22" t="n">
        <f aca="false">SUM(D37:G37)</f>
        <v>0.16</v>
      </c>
      <c r="I37" s="14" t="s">
        <v>96</v>
      </c>
    </row>
    <row r="39" customFormat="false" ht="15" hidden="false" customHeight="false" outlineLevel="0" collapsed="false">
      <c r="B39" s="12" t="s">
        <v>97</v>
      </c>
      <c r="C39" s="12" t="s">
        <v>63</v>
      </c>
      <c r="I39" s="12" t="s">
        <v>35</v>
      </c>
    </row>
    <row r="40" customFormat="false" ht="15" hidden="false" customHeight="false" outlineLevel="0" collapsed="false">
      <c r="B40" s="4" t="s">
        <v>98</v>
      </c>
      <c r="C40" s="19" t="n">
        <v>6000</v>
      </c>
      <c r="I40" s="14" t="s">
        <v>99</v>
      </c>
    </row>
    <row r="41" customFormat="false" ht="15" hidden="false" customHeight="false" outlineLevel="0" collapsed="false">
      <c r="B41" s="4" t="s">
        <v>100</v>
      </c>
      <c r="C41" s="19" t="n">
        <v>3000</v>
      </c>
      <c r="I41" s="14"/>
    </row>
    <row r="42" customFormat="false" ht="15" hidden="false" customHeight="false" outlineLevel="0" collapsed="false">
      <c r="B42" s="4" t="s">
        <v>101</v>
      </c>
      <c r="C42" s="19" t="n">
        <v>1200</v>
      </c>
      <c r="I42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3" customFormat="false" ht="15" hidden="false" customHeight="false" outlineLevel="0" collapsed="false">
      <c r="A3" s="2" t="s">
        <v>104</v>
      </c>
    </row>
    <row r="5" customFormat="false" ht="42" hidden="false" customHeight="true" outlineLevel="0" collapsed="false">
      <c r="A5" s="3" t="s">
        <v>105</v>
      </c>
      <c r="B5" s="3" t="s">
        <v>3</v>
      </c>
      <c r="C5" s="3" t="s">
        <v>4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5</v>
      </c>
      <c r="I5" s="3" t="s">
        <v>110</v>
      </c>
      <c r="J5" s="3" t="s">
        <v>111</v>
      </c>
      <c r="K5" s="3" t="s">
        <v>112</v>
      </c>
      <c r="L5" s="3" t="s">
        <v>113</v>
      </c>
      <c r="M5" s="3" t="s">
        <v>114</v>
      </c>
      <c r="N5" s="3" t="s">
        <v>115</v>
      </c>
      <c r="O5" s="3" t="s">
        <v>116</v>
      </c>
      <c r="P5" s="3" t="s">
        <v>117</v>
      </c>
      <c r="Q5" s="3" t="s">
        <v>118</v>
      </c>
      <c r="R5" s="23" t="s">
        <v>119</v>
      </c>
      <c r="S5" s="23" t="s">
        <v>120</v>
      </c>
      <c r="T5" s="23" t="s">
        <v>121</v>
      </c>
      <c r="U5" s="23" t="s">
        <v>122</v>
      </c>
      <c r="V5" s="23" t="s">
        <v>123</v>
      </c>
      <c r="W5" s="23" t="s">
        <v>7</v>
      </c>
      <c r="X5" s="23" t="s">
        <v>8</v>
      </c>
      <c r="Y5" s="23" t="s">
        <v>9</v>
      </c>
      <c r="Z5" s="23" t="s">
        <v>10</v>
      </c>
      <c r="AA5" s="23" t="s">
        <v>124</v>
      </c>
      <c r="AB5" s="23" t="s">
        <v>125</v>
      </c>
      <c r="AC5" s="23" t="s">
        <v>126</v>
      </c>
      <c r="AD5" s="23" t="s">
        <v>11</v>
      </c>
      <c r="AE5" s="23" t="s">
        <v>12</v>
      </c>
      <c r="AF5" s="23" t="s">
        <v>127</v>
      </c>
      <c r="AG5" s="23" t="s">
        <v>128</v>
      </c>
      <c r="AH5" s="3" t="s">
        <v>129</v>
      </c>
      <c r="AI5" s="3" t="s">
        <v>130</v>
      </c>
      <c r="AJ5" s="3" t="s">
        <v>131</v>
      </c>
      <c r="AK5" s="3" t="s">
        <v>132</v>
      </c>
    </row>
    <row r="6" customFormat="false" ht="57.45" hidden="false" customHeight="false" outlineLevel="0" collapsed="false">
      <c r="A6" s="13" t="n">
        <v>1</v>
      </c>
      <c r="B6" s="24" t="s">
        <v>133</v>
      </c>
      <c r="C6" s="25" t="s">
        <v>134</v>
      </c>
      <c r="D6" s="26" t="s">
        <v>75</v>
      </c>
      <c r="E6" s="25" t="s">
        <v>135</v>
      </c>
      <c r="F6" s="25" t="s">
        <v>136</v>
      </c>
      <c r="G6" s="19" t="n">
        <v>584900</v>
      </c>
      <c r="H6" s="19" t="n">
        <v>560000</v>
      </c>
      <c r="I6" s="18" t="n">
        <v>0.03</v>
      </c>
      <c r="J6" s="27" t="n">
        <f aca="false">Assumptions!$C$15</f>
        <v>0.25</v>
      </c>
      <c r="K6" s="19" t="n">
        <v>85000</v>
      </c>
      <c r="L6" s="25" t="s">
        <v>137</v>
      </c>
      <c r="M6" s="26" t="s">
        <v>70</v>
      </c>
      <c r="N6" s="26" t="s">
        <v>138</v>
      </c>
      <c r="O6" s="19" t="n">
        <v>0</v>
      </c>
      <c r="P6" s="19"/>
      <c r="Q6" s="26" t="s">
        <v>93</v>
      </c>
      <c r="R6" s="21" t="n">
        <f aca="false">H6*(1-J6)</f>
        <v>420000</v>
      </c>
      <c r="S6" s="28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H6*INDEX(Assumptions!$C$28:$C$33,MATCH(D6,Assumptions!$B$28:$B$33,0))/12</f>
        <v>700</v>
      </c>
      <c r="V6" s="21" t="n">
        <f aca="false">IF(ISNUMBER(P6),P6,INDEX(Assumptions!$D$28:$D$33,MATCH(D6,Assumptions!$B$28:$B$33,0))+INDEX(Assumptions!$C$22:$C$25,MATCH(M6,Assumptions!$B$22:$B$25,0)))/12</f>
        <v>750</v>
      </c>
      <c r="W6" s="21" t="n">
        <f aca="false">T6+U6+V6+O6</f>
        <v>4315.14037623601</v>
      </c>
      <c r="X6" s="29" t="n">
        <f aca="false">IFERROR(K6/12/W6,0)</f>
        <v>1.64150704629265</v>
      </c>
      <c r="Y6" s="30" t="n">
        <f aca="false">IFERROR(K6*Assumptions!$C$18/12/W6,0)</f>
        <v>1.31320563703412</v>
      </c>
      <c r="Z6" s="31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K6*INDEX(Assumptions!$H$36:$H$37,MATCH(Q6,Assumptions!$B$36:$B$37,0))+Assumptions!$C$40+IF(N6="Y",Assumptions!$C$41,Assumptions!$C$42)</f>
        <v>37050</v>
      </c>
      <c r="AC6" s="21" t="n">
        <f aca="false">K6*INDEX(Assumptions!$C$36:$C$37,MATCH(Q6,Assumptions!$B$36:$B$37,0))</f>
        <v>17000</v>
      </c>
      <c r="AD6" s="21" t="n">
        <f aca="false">K6-AB6-W6*12</f>
        <v>-3831.68451483207</v>
      </c>
      <c r="AE6" s="21" t="n">
        <f aca="false">AD6-AC6</f>
        <v>-20831.6845148321</v>
      </c>
      <c r="AF6" s="22" t="n">
        <f aca="false">IFERROR(K6/H6,0)</f>
        <v>0.151785714285714</v>
      </c>
      <c r="AG6" s="22" t="n">
        <f aca="false">IFERROR((K6-AB6-AC6)/H6,0)</f>
        <v>0.0552678571428571</v>
      </c>
      <c r="AH6" s="25" t="s">
        <v>139</v>
      </c>
      <c r="AI6" s="13" t="n">
        <v>21</v>
      </c>
      <c r="AJ6" s="25" t="s">
        <v>140</v>
      </c>
      <c r="AK6" s="32" t="s">
        <v>141</v>
      </c>
    </row>
    <row r="7" customFormat="false" ht="35.05" hidden="false" customHeight="false" outlineLevel="0" collapsed="false">
      <c r="A7" s="33" t="n">
        <v>2</v>
      </c>
      <c r="B7" s="24" t="s">
        <v>142</v>
      </c>
      <c r="C7" s="34" t="s">
        <v>143</v>
      </c>
      <c r="D7" s="35" t="s">
        <v>75</v>
      </c>
      <c r="E7" s="34" t="s">
        <v>144</v>
      </c>
      <c r="F7" s="34" t="s">
        <v>145</v>
      </c>
      <c r="G7" s="36" t="n">
        <v>475000</v>
      </c>
      <c r="H7" s="36" t="n">
        <v>460000</v>
      </c>
      <c r="I7" s="37" t="n">
        <v>0</v>
      </c>
      <c r="J7" s="38" t="n">
        <f aca="false">Assumptions!$C$15</f>
        <v>0.25</v>
      </c>
      <c r="K7" s="36" t="n">
        <v>73000</v>
      </c>
      <c r="L7" s="34" t="s">
        <v>146</v>
      </c>
      <c r="M7" s="35" t="s">
        <v>70</v>
      </c>
      <c r="N7" s="35" t="s">
        <v>147</v>
      </c>
      <c r="O7" s="36" t="n">
        <v>0</v>
      </c>
      <c r="P7" s="36"/>
      <c r="Q7" s="35" t="s">
        <v>93</v>
      </c>
      <c r="R7" s="39" t="n">
        <f aca="false">H7*(1-J7)</f>
        <v>345000</v>
      </c>
      <c r="S7" s="40" t="n">
        <f aca="false">IF((1-J7)&gt;0.75,Assumptions!$C$11,IF((1-J7)&gt;0.7,Assumptions!$C$12,Assumptions!$C$13))</f>
        <v>0.0725</v>
      </c>
      <c r="T7" s="39" t="n">
        <f aca="false">PMT(S7/12,Assumptions!$C$14,-R7)</f>
        <v>2353.50816619386</v>
      </c>
      <c r="U7" s="39" t="n">
        <f aca="false">H7*INDEX(Assumptions!$C$28:$C$33,MATCH(D7,Assumptions!$B$28:$B$33,0))/12</f>
        <v>575</v>
      </c>
      <c r="V7" s="39" t="n">
        <f aca="false">IF(ISNUMBER(P7),P7,INDEX(Assumptions!$D$28:$D$33,MATCH(D7,Assumptions!$B$28:$B$33,0))+INDEX(Assumptions!$C$22:$C$25,MATCH(M7,Assumptions!$B$22:$B$25,0)))/12</f>
        <v>750</v>
      </c>
      <c r="W7" s="39" t="n">
        <f aca="false">T7+U7+V7+O7</f>
        <v>3678.50816619386</v>
      </c>
      <c r="X7" s="41" t="n">
        <f aca="false">IFERROR(K7/12/W7,0)</f>
        <v>1.65375012328102</v>
      </c>
      <c r="Y7" s="30" t="n">
        <f aca="false">IFERROR(K7*Assumptions!$C$18/12/W7,0)</f>
        <v>1.32300009862482</v>
      </c>
      <c r="Z7" s="31" t="n">
        <f aca="false">H7*J7+H7*(Assumptions!$C$16-I7)</f>
        <v>133400</v>
      </c>
      <c r="AA7" s="39" t="n">
        <f aca="false">W7*Assumptions!$C$17</f>
        <v>22071.0489971632</v>
      </c>
      <c r="AB7" s="39" t="n">
        <f aca="false">K7*INDEX(Assumptions!$H$36:$H$37,MATCH(Q7,Assumptions!$B$36:$B$37,0))+Assumptions!$C$40+IF(N7="Y",Assumptions!$C$41,Assumptions!$C$42)</f>
        <v>31290</v>
      </c>
      <c r="AC7" s="39" t="n">
        <f aca="false">K7*INDEX(Assumptions!$C$36:$C$37,MATCH(Q7,Assumptions!$B$36:$B$37,0))</f>
        <v>14600</v>
      </c>
      <c r="AD7" s="39" t="n">
        <f aca="false">K7-AB7-W7*12</f>
        <v>-2432.09799432634</v>
      </c>
      <c r="AE7" s="39" t="n">
        <f aca="false">AD7-AC7</f>
        <v>-17032.0979943263</v>
      </c>
      <c r="AF7" s="42" t="n">
        <f aca="false">IFERROR(K7/H7,0)</f>
        <v>0.158695652173913</v>
      </c>
      <c r="AG7" s="42" t="n">
        <f aca="false">IFERROR((K7-AB7-AC7)/H7,0)</f>
        <v>0.0589347826086957</v>
      </c>
      <c r="AH7" s="34" t="s">
        <v>148</v>
      </c>
      <c r="AI7" s="33" t="n">
        <v>14</v>
      </c>
      <c r="AJ7" s="34" t="s">
        <v>149</v>
      </c>
      <c r="AK7" s="43" t="s">
        <v>141</v>
      </c>
    </row>
    <row r="8" customFormat="false" ht="46.25" hidden="false" customHeight="false" outlineLevel="0" collapsed="false">
      <c r="A8" s="13" t="n">
        <v>3</v>
      </c>
      <c r="B8" s="24" t="s">
        <v>150</v>
      </c>
      <c r="C8" s="25" t="s">
        <v>151</v>
      </c>
      <c r="D8" s="26" t="s">
        <v>75</v>
      </c>
      <c r="E8" s="25" t="s">
        <v>135</v>
      </c>
      <c r="F8" s="25" t="s">
        <v>152</v>
      </c>
      <c r="G8" s="19" t="n">
        <v>645000</v>
      </c>
      <c r="H8" s="19" t="n">
        <v>600000</v>
      </c>
      <c r="I8" s="18" t="n">
        <v>0.03</v>
      </c>
      <c r="J8" s="27" t="n">
        <f aca="false">Assumptions!$C$15</f>
        <v>0.25</v>
      </c>
      <c r="K8" s="19" t="n">
        <v>89000</v>
      </c>
      <c r="L8" s="25" t="s">
        <v>153</v>
      </c>
      <c r="M8" s="26" t="s">
        <v>70</v>
      </c>
      <c r="N8" s="26" t="s">
        <v>138</v>
      </c>
      <c r="O8" s="19" t="n">
        <v>0</v>
      </c>
      <c r="P8" s="19"/>
      <c r="Q8" s="26" t="s">
        <v>93</v>
      </c>
      <c r="R8" s="21" t="n">
        <f aca="false">H8*(1-J8)</f>
        <v>450000</v>
      </c>
      <c r="S8" s="28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H8*INDEX(Assumptions!$C$28:$C$33,MATCH(D8,Assumptions!$B$28:$B$33,0))/12</f>
        <v>750</v>
      </c>
      <c r="V8" s="21" t="n">
        <f aca="false">IF(ISNUMBER(P8),P8,INDEX(Assumptions!$D$28:$D$33,MATCH(D8,Assumptions!$B$28:$B$33,0))+INDEX(Assumptions!$C$22:$C$25,MATCH(M8,Assumptions!$B$22:$B$25,0)))/12</f>
        <v>750</v>
      </c>
      <c r="W8" s="21" t="n">
        <f aca="false">T8+U8+V8+O8</f>
        <v>4569.79326025286</v>
      </c>
      <c r="X8" s="29" t="n">
        <f aca="false">IFERROR(K8/12/W8,0)</f>
        <v>1.62297641146599</v>
      </c>
      <c r="Y8" s="30" t="n">
        <f aca="false">IFERROR(K8*Assumptions!$C$18/12/W8,0)</f>
        <v>1.29838112917279</v>
      </c>
      <c r="Z8" s="31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K8*INDEX(Assumptions!$H$36:$H$37,MATCH(Q8,Assumptions!$B$36:$B$37,0))+Assumptions!$C$40+IF(N8="Y",Assumptions!$C$41,Assumptions!$C$42)</f>
        <v>38370</v>
      </c>
      <c r="AC8" s="21" t="n">
        <f aca="false">K8*INDEX(Assumptions!$C$36:$C$37,MATCH(Q8,Assumptions!$B$36:$B$37,0))</f>
        <v>17800</v>
      </c>
      <c r="AD8" s="21" t="n">
        <f aca="false">K8-AB8-W8*12</f>
        <v>-4207.51912303436</v>
      </c>
      <c r="AE8" s="21" t="n">
        <f aca="false">AD8-AC8</f>
        <v>-22007.5191230344</v>
      </c>
      <c r="AF8" s="22" t="n">
        <f aca="false">IFERROR(K8/H8,0)</f>
        <v>0.148333333333333</v>
      </c>
      <c r="AG8" s="22" t="n">
        <f aca="false">IFERROR((K8-AB8-AC8)/H8,0)</f>
        <v>0.0547166666666667</v>
      </c>
      <c r="AH8" s="25" t="s">
        <v>154</v>
      </c>
      <c r="AI8" s="13" t="n">
        <v>23</v>
      </c>
      <c r="AJ8" s="25" t="s">
        <v>155</v>
      </c>
      <c r="AK8" s="32" t="s">
        <v>141</v>
      </c>
    </row>
    <row r="9" customFormat="false" ht="35.05" hidden="false" customHeight="false" outlineLevel="0" collapsed="false">
      <c r="A9" s="33" t="n">
        <v>4</v>
      </c>
      <c r="B9" s="34" t="s">
        <v>156</v>
      </c>
      <c r="C9" s="34" t="s">
        <v>157</v>
      </c>
      <c r="D9" s="35" t="s">
        <v>77</v>
      </c>
      <c r="E9" s="34" t="s">
        <v>144</v>
      </c>
      <c r="F9" s="34" t="s">
        <v>158</v>
      </c>
      <c r="G9" s="36" t="n">
        <v>475000</v>
      </c>
      <c r="H9" s="36" t="n">
        <v>455000</v>
      </c>
      <c r="I9" s="37" t="n">
        <v>0</v>
      </c>
      <c r="J9" s="38" t="n">
        <f aca="false">Assumptions!$C$15</f>
        <v>0.25</v>
      </c>
      <c r="K9" s="36" t="n">
        <v>60000</v>
      </c>
      <c r="L9" s="34" t="s">
        <v>159</v>
      </c>
      <c r="M9" s="35" t="s">
        <v>64</v>
      </c>
      <c r="N9" s="35" t="s">
        <v>147</v>
      </c>
      <c r="O9" s="36" t="n">
        <v>0</v>
      </c>
      <c r="P9" s="36"/>
      <c r="Q9" s="35" t="s">
        <v>93</v>
      </c>
      <c r="R9" s="39" t="n">
        <f aca="false">H9*(1-J9)</f>
        <v>341250</v>
      </c>
      <c r="S9" s="40" t="n">
        <f aca="false">IF((1-J9)&gt;0.75,Assumptions!$C$11,IF((1-J9)&gt;0.7,Assumptions!$C$12,Assumptions!$C$13))</f>
        <v>0.0725</v>
      </c>
      <c r="T9" s="39" t="n">
        <f aca="false">PMT(S9/12,Assumptions!$C$14,-R9)</f>
        <v>2327.92655569175</v>
      </c>
      <c r="U9" s="39" t="n">
        <f aca="false">H9*INDEX(Assumptions!$C$28:$C$33,MATCH(D9,Assumptions!$B$28:$B$33,0))/12</f>
        <v>511.875</v>
      </c>
      <c r="V9" s="39" t="n">
        <f aca="false">IF(ISNUMBER(P9),P9,INDEX(Assumptions!$D$28:$D$33,MATCH(D9,Assumptions!$B$28:$B$33,0))+INDEX(Assumptions!$C$22:$C$25,MATCH(M9,Assumptions!$B$22:$B$25,0)))/12</f>
        <v>666.666666666667</v>
      </c>
      <c r="W9" s="39" t="n">
        <f aca="false">T9+U9+V9+O9</f>
        <v>3506.46822235842</v>
      </c>
      <c r="X9" s="41" t="n">
        <f aca="false">IFERROR(K9/12/W9,0)</f>
        <v>1.42593620786817</v>
      </c>
      <c r="Y9" s="41" t="n">
        <f aca="false">IFERROR(K9*Assumptions!$C$18/12/W9,0)</f>
        <v>1.14074896629453</v>
      </c>
      <c r="Z9" s="39" t="n">
        <f aca="false">H9*J9+H9*(Assumptions!$C$16-I9)</f>
        <v>131950</v>
      </c>
      <c r="AA9" s="39" t="n">
        <f aca="false">W9*Assumptions!$C$17</f>
        <v>21038.8093341505</v>
      </c>
      <c r="AB9" s="39" t="n">
        <f aca="false">K9*INDEX(Assumptions!$H$36:$H$37,MATCH(Q9,Assumptions!$B$36:$B$37,0))+Assumptions!$C$40+IF(N9="Y",Assumptions!$C$41,Assumptions!$C$42)</f>
        <v>27000</v>
      </c>
      <c r="AC9" s="39" t="n">
        <f aca="false">K9*INDEX(Assumptions!$C$36:$C$37,MATCH(Q9,Assumptions!$B$36:$B$37,0))</f>
        <v>12000</v>
      </c>
      <c r="AD9" s="39" t="n">
        <f aca="false">K9-AB9-W9*12</f>
        <v>-9077.61866830105</v>
      </c>
      <c r="AE9" s="39" t="n">
        <f aca="false">AD9-AC9</f>
        <v>-21077.6186683011</v>
      </c>
      <c r="AF9" s="42" t="n">
        <f aca="false">IFERROR(K9/H9,0)</f>
        <v>0.131868131868132</v>
      </c>
      <c r="AG9" s="42" t="n">
        <f aca="false">IFERROR((K9-AB9-AC9)/H9,0)</f>
        <v>0.0461538461538462</v>
      </c>
      <c r="AH9" s="34" t="s">
        <v>160</v>
      </c>
      <c r="AI9" s="33" t="n">
        <v>78</v>
      </c>
      <c r="AJ9" s="34" t="s">
        <v>161</v>
      </c>
      <c r="AK9" s="43" t="s">
        <v>141</v>
      </c>
    </row>
    <row r="10" customFormat="false" ht="35.05" hidden="false" customHeight="false" outlineLevel="0" collapsed="false">
      <c r="A10" s="13" t="n">
        <v>5</v>
      </c>
      <c r="B10" s="25" t="s">
        <v>162</v>
      </c>
      <c r="C10" s="25" t="s">
        <v>151</v>
      </c>
      <c r="D10" s="26" t="s">
        <v>75</v>
      </c>
      <c r="E10" s="25" t="s">
        <v>135</v>
      </c>
      <c r="F10" s="25" t="s">
        <v>163</v>
      </c>
      <c r="G10" s="19" t="n">
        <v>474999</v>
      </c>
      <c r="H10" s="19" t="n">
        <v>474999</v>
      </c>
      <c r="I10" s="18" t="n">
        <v>0</v>
      </c>
      <c r="J10" s="27" t="n">
        <f aca="false">Assumptions!$C$15</f>
        <v>0.25</v>
      </c>
      <c r="K10" s="19" t="n">
        <v>54000</v>
      </c>
      <c r="L10" s="25" t="s">
        <v>164</v>
      </c>
      <c r="M10" s="26" t="s">
        <v>64</v>
      </c>
      <c r="N10" s="26" t="s">
        <v>138</v>
      </c>
      <c r="O10" s="19" t="n">
        <v>0</v>
      </c>
      <c r="P10" s="19"/>
      <c r="Q10" s="26" t="s">
        <v>93</v>
      </c>
      <c r="R10" s="21" t="n">
        <f aca="false">H10*(1-J10)</f>
        <v>356249.25</v>
      </c>
      <c r="S10" s="28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H10*INDEX(Assumptions!$C$28:$C$33,MATCH(D10,Assumptions!$B$28:$B$33,0))/12</f>
        <v>593.74875</v>
      </c>
      <c r="V10" s="21" t="n">
        <f aca="false">IF(ISNUMBER(P10),P10,INDEX(Assumptions!$D$28:$D$33,MATCH(D10,Assumptions!$B$28:$B$33,0))+INDEX(Assumptions!$C$22:$C$25,MATCH(M10,Assumptions!$B$22:$B$25,0)))/12</f>
        <v>666.666666666667</v>
      </c>
      <c r="W10" s="21" t="n">
        <f aca="false">T10+U10+V10+O10</f>
        <v>3690.66329804475</v>
      </c>
      <c r="X10" s="29" t="n">
        <f aca="false">IFERROR(K10/12/W10,0)</f>
        <v>1.2192930204129</v>
      </c>
      <c r="Y10" s="29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K10*INDEX(Assumptions!$H$36:$H$37,MATCH(Q10,Assumptions!$B$36:$B$37,0))+Assumptions!$C$40+IF(N10="Y",Assumptions!$C$41,Assumptions!$C$42)</f>
        <v>26820</v>
      </c>
      <c r="AC10" s="21" t="n">
        <f aca="false">K10*INDEX(Assumptions!$C$36:$C$37,MATCH(Q10,Assumptions!$B$36:$B$37,0))</f>
        <v>10800</v>
      </c>
      <c r="AD10" s="21" t="n">
        <f aca="false">K10-AB10-W10*12</f>
        <v>-17107.959576537</v>
      </c>
      <c r="AE10" s="21" t="n">
        <f aca="false">AD10-AC10</f>
        <v>-27907.959576537</v>
      </c>
      <c r="AF10" s="22" t="n">
        <f aca="false">IFERROR(K10/H10,0)</f>
        <v>0.113684449862</v>
      </c>
      <c r="AG10" s="22" t="n">
        <f aca="false">IFERROR((K10-AB10-AC10)/H10,0)</f>
        <v>0.0344842831248066</v>
      </c>
      <c r="AH10" s="25" t="s">
        <v>165</v>
      </c>
      <c r="AI10" s="13" t="n">
        <v>18</v>
      </c>
      <c r="AJ10" s="25" t="s">
        <v>166</v>
      </c>
      <c r="AK10" s="32" t="s">
        <v>141</v>
      </c>
    </row>
    <row r="11" customFormat="false" ht="23.85" hidden="false" customHeight="false" outlineLevel="0" collapsed="false">
      <c r="A11" s="33" t="n">
        <v>6</v>
      </c>
      <c r="B11" s="34" t="s">
        <v>167</v>
      </c>
      <c r="C11" s="34" t="s">
        <v>151</v>
      </c>
      <c r="D11" s="35" t="s">
        <v>75</v>
      </c>
      <c r="E11" s="34" t="s">
        <v>135</v>
      </c>
      <c r="F11" s="34" t="s">
        <v>168</v>
      </c>
      <c r="G11" s="36" t="n">
        <v>529000</v>
      </c>
      <c r="H11" s="36" t="n">
        <v>515000</v>
      </c>
      <c r="I11" s="37" t="n">
        <v>0</v>
      </c>
      <c r="J11" s="38" t="n">
        <f aca="false">Assumptions!$C$15</f>
        <v>0.25</v>
      </c>
      <c r="K11" s="36" t="n">
        <v>60000</v>
      </c>
      <c r="L11" s="34" t="s">
        <v>169</v>
      </c>
      <c r="M11" s="35" t="s">
        <v>70</v>
      </c>
      <c r="N11" s="35" t="s">
        <v>138</v>
      </c>
      <c r="O11" s="36" t="n">
        <v>0</v>
      </c>
      <c r="P11" s="36"/>
      <c r="Q11" s="35" t="s">
        <v>93</v>
      </c>
      <c r="R11" s="39" t="n">
        <f aca="false">H11*(1-J11)</f>
        <v>386250</v>
      </c>
      <c r="S11" s="40" t="n">
        <f aca="false">IF((1-J11)&gt;0.75,Assumptions!$C$11,IF((1-J11)&gt;0.7,Assumptions!$C$12,Assumptions!$C$13))</f>
        <v>0.0725</v>
      </c>
      <c r="T11" s="39" t="n">
        <f aca="false">PMT(S11/12,Assumptions!$C$14,-R11)</f>
        <v>2634.90588171704</v>
      </c>
      <c r="U11" s="39" t="n">
        <f aca="false">H11*INDEX(Assumptions!$C$28:$C$33,MATCH(D11,Assumptions!$B$28:$B$33,0))/12</f>
        <v>643.75</v>
      </c>
      <c r="V11" s="39" t="n">
        <f aca="false">IF(ISNUMBER(P11),P11,INDEX(Assumptions!$D$28:$D$33,MATCH(D11,Assumptions!$B$28:$B$33,0))+INDEX(Assumptions!$C$22:$C$25,MATCH(M11,Assumptions!$B$22:$B$25,0)))/12</f>
        <v>750</v>
      </c>
      <c r="W11" s="39" t="n">
        <f aca="false">T11+U11+V11+O11</f>
        <v>4028.65588171704</v>
      </c>
      <c r="X11" s="41" t="n">
        <f aca="false">IFERROR(K11/12/W11,0)</f>
        <v>1.24110873373205</v>
      </c>
      <c r="Y11" s="41" t="n">
        <f aca="false">IFERROR(K11*Assumptions!$C$18/12/W11,0)</f>
        <v>0.992886986985638</v>
      </c>
      <c r="Z11" s="39" t="n">
        <f aca="false">H11*J11+H11*(Assumptions!$C$16-I11)</f>
        <v>149350</v>
      </c>
      <c r="AA11" s="39" t="n">
        <f aca="false">W11*Assumptions!$C$17</f>
        <v>24171.9352903022</v>
      </c>
      <c r="AB11" s="39" t="n">
        <f aca="false">K11*INDEX(Assumptions!$H$36:$H$37,MATCH(Q11,Assumptions!$B$36:$B$37,0))+Assumptions!$C$40+IF(N11="Y",Assumptions!$C$41,Assumptions!$C$42)</f>
        <v>28800</v>
      </c>
      <c r="AC11" s="39" t="n">
        <f aca="false">K11*INDEX(Assumptions!$C$36:$C$37,MATCH(Q11,Assumptions!$B$36:$B$37,0))</f>
        <v>12000</v>
      </c>
      <c r="AD11" s="39" t="n">
        <f aca="false">K11-AB11-W11*12</f>
        <v>-17143.8705806045</v>
      </c>
      <c r="AE11" s="39" t="n">
        <f aca="false">AD11-AC11</f>
        <v>-29143.8705806045</v>
      </c>
      <c r="AF11" s="42" t="n">
        <f aca="false">IFERROR(K11/H11,0)</f>
        <v>0.116504854368932</v>
      </c>
      <c r="AG11" s="42" t="n">
        <f aca="false">IFERROR((K11-AB11-AC11)/H11,0)</f>
        <v>0.0372815533980583</v>
      </c>
      <c r="AH11" s="34" t="s">
        <v>170</v>
      </c>
      <c r="AI11" s="33" t="n">
        <v>58</v>
      </c>
      <c r="AJ11" s="34" t="s">
        <v>171</v>
      </c>
      <c r="AK11" s="43" t="s">
        <v>141</v>
      </c>
    </row>
    <row r="12" customFormat="false" ht="23.85" hidden="false" customHeight="false" outlineLevel="0" collapsed="false">
      <c r="A12" s="13" t="n">
        <v>7</v>
      </c>
      <c r="B12" s="25" t="s">
        <v>172</v>
      </c>
      <c r="C12" s="25" t="s">
        <v>157</v>
      </c>
      <c r="D12" s="26" t="s">
        <v>77</v>
      </c>
      <c r="E12" s="25" t="s">
        <v>135</v>
      </c>
      <c r="F12" s="25" t="s">
        <v>173</v>
      </c>
      <c r="G12" s="19" t="n">
        <v>524900</v>
      </c>
      <c r="H12" s="19" t="n">
        <v>505000</v>
      </c>
      <c r="I12" s="18" t="n">
        <v>0</v>
      </c>
      <c r="J12" s="27" t="n">
        <f aca="false">Assumptions!$C$15</f>
        <v>0.25</v>
      </c>
      <c r="K12" s="19" t="n">
        <v>50157</v>
      </c>
      <c r="L12" s="25" t="s">
        <v>174</v>
      </c>
      <c r="M12" s="26" t="s">
        <v>64</v>
      </c>
      <c r="N12" s="26" t="s">
        <v>147</v>
      </c>
      <c r="O12" s="19" t="n">
        <v>0</v>
      </c>
      <c r="P12" s="19"/>
      <c r="Q12" s="26" t="s">
        <v>93</v>
      </c>
      <c r="R12" s="21" t="n">
        <f aca="false">H12*(1-J12)</f>
        <v>378750</v>
      </c>
      <c r="S12" s="28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H12*INDEX(Assumptions!$C$28:$C$33,MATCH(D12,Assumptions!$B$28:$B$33,0))/12</f>
        <v>568.125</v>
      </c>
      <c r="V12" s="21" t="n">
        <f aca="false">IF(ISNUMBER(P12),P12,INDEX(Assumptions!$D$28:$D$33,MATCH(D12,Assumptions!$B$28:$B$33,0))+INDEX(Assumptions!$C$22:$C$25,MATCH(M12,Assumptions!$B$22:$B$25,0)))/12</f>
        <v>666.666666666667</v>
      </c>
      <c r="W12" s="21" t="n">
        <f aca="false">T12+U12+V12+O12</f>
        <v>3818.53432737949</v>
      </c>
      <c r="X12" s="29" t="n">
        <f aca="false">IFERROR(K12/12/W12,0)</f>
        <v>1.09459537132625</v>
      </c>
      <c r="Y12" s="29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K12*INDEX(Assumptions!$H$36:$H$37,MATCH(Q12,Assumptions!$B$36:$B$37,0))+Assumptions!$C$40+IF(N12="Y",Assumptions!$C$41,Assumptions!$C$42)</f>
        <v>23751.81</v>
      </c>
      <c r="AC12" s="21" t="n">
        <f aca="false">K12*INDEX(Assumptions!$C$36:$C$37,MATCH(Q12,Assumptions!$B$36:$B$37,0))</f>
        <v>10031.4</v>
      </c>
      <c r="AD12" s="21" t="n">
        <f aca="false">K12-AB12-W12*12</f>
        <v>-19417.2219285539</v>
      </c>
      <c r="AE12" s="21" t="n">
        <f aca="false">AD12-AC12</f>
        <v>-29448.6219285539</v>
      </c>
      <c r="AF12" s="22" t="n">
        <f aca="false">IFERROR(K12/H12,0)</f>
        <v>0.0993207920792079</v>
      </c>
      <c r="AG12" s="22" t="n">
        <f aca="false">IFERROR((K12-AB12-AC12)/H12,0)</f>
        <v>0.0324233465346535</v>
      </c>
      <c r="AH12" s="25" t="s">
        <v>175</v>
      </c>
      <c r="AI12" s="13" t="n">
        <v>16</v>
      </c>
      <c r="AJ12" s="25" t="s">
        <v>176</v>
      </c>
      <c r="AK12" s="32" t="s">
        <v>141</v>
      </c>
    </row>
    <row r="13" customFormat="false" ht="23.85" hidden="false" customHeight="false" outlineLevel="0" collapsed="false">
      <c r="A13" s="33" t="n">
        <v>8</v>
      </c>
      <c r="B13" s="34" t="s">
        <v>177</v>
      </c>
      <c r="C13" s="34" t="s">
        <v>134</v>
      </c>
      <c r="D13" s="35" t="s">
        <v>75</v>
      </c>
      <c r="E13" s="34" t="s">
        <v>135</v>
      </c>
      <c r="F13" s="34" t="s">
        <v>178</v>
      </c>
      <c r="G13" s="36" t="n">
        <v>550000</v>
      </c>
      <c r="H13" s="36" t="n">
        <v>530000</v>
      </c>
      <c r="I13" s="37" t="n">
        <v>0</v>
      </c>
      <c r="J13" s="38" t="n">
        <f aca="false">Assumptions!$C$15</f>
        <v>0.25</v>
      </c>
      <c r="K13" s="36" t="n">
        <v>48000</v>
      </c>
      <c r="L13" s="34" t="s">
        <v>179</v>
      </c>
      <c r="M13" s="35" t="s">
        <v>70</v>
      </c>
      <c r="N13" s="35" t="s">
        <v>138</v>
      </c>
      <c r="O13" s="36" t="n">
        <v>8</v>
      </c>
      <c r="P13" s="36"/>
      <c r="Q13" s="35" t="s">
        <v>93</v>
      </c>
      <c r="R13" s="39" t="n">
        <f aca="false">H13*(1-J13)</f>
        <v>397500</v>
      </c>
      <c r="S13" s="40" t="n">
        <f aca="false">IF((1-J13)&gt;0.75,Assumptions!$C$11,IF((1-J13)&gt;0.7,Assumptions!$C$12,Assumptions!$C$13))</f>
        <v>0.0725</v>
      </c>
      <c r="T13" s="39" t="n">
        <f aca="false">PMT(S13/12,Assumptions!$C$14,-R13)</f>
        <v>2711.65071322336</v>
      </c>
      <c r="U13" s="39" t="n">
        <f aca="false">H13*INDEX(Assumptions!$C$28:$C$33,MATCH(D13,Assumptions!$B$28:$B$33,0))/12</f>
        <v>662.5</v>
      </c>
      <c r="V13" s="39" t="n">
        <f aca="false">IF(ISNUMBER(P13),P13,INDEX(Assumptions!$D$28:$D$33,MATCH(D13,Assumptions!$B$28:$B$33,0))+INDEX(Assumptions!$C$22:$C$25,MATCH(M13,Assumptions!$B$22:$B$25,0)))/12</f>
        <v>750</v>
      </c>
      <c r="W13" s="39" t="n">
        <f aca="false">T13+U13+V13+O13</f>
        <v>4132.15071322336</v>
      </c>
      <c r="X13" s="41" t="n">
        <f aca="false">IFERROR(K13/12/W13,0)</f>
        <v>0.968018902892272</v>
      </c>
      <c r="Y13" s="41" t="n">
        <f aca="false">IFERROR(K13*Assumptions!$C$18/12/W13,0)</f>
        <v>0.774415122313818</v>
      </c>
      <c r="Z13" s="39" t="n">
        <f aca="false">H13*J13+H13*(Assumptions!$C$16-I13)</f>
        <v>153700</v>
      </c>
      <c r="AA13" s="39" t="n">
        <f aca="false">W13*Assumptions!$C$17</f>
        <v>24792.9042793402</v>
      </c>
      <c r="AB13" s="39" t="n">
        <f aca="false">K13*INDEX(Assumptions!$H$36:$H$37,MATCH(Q13,Assumptions!$B$36:$B$37,0))+Assumptions!$C$40+IF(N13="Y",Assumptions!$C$41,Assumptions!$C$42)</f>
        <v>24840</v>
      </c>
      <c r="AC13" s="39" t="n">
        <f aca="false">K13*INDEX(Assumptions!$C$36:$C$37,MATCH(Q13,Assumptions!$B$36:$B$37,0))</f>
        <v>9600</v>
      </c>
      <c r="AD13" s="39" t="n">
        <f aca="false">K13-AB13-W13*12</f>
        <v>-26425.8085586803</v>
      </c>
      <c r="AE13" s="39" t="n">
        <f aca="false">AD13-AC13</f>
        <v>-36025.8085586803</v>
      </c>
      <c r="AF13" s="42" t="n">
        <f aca="false">IFERROR(K13/H13,0)</f>
        <v>0.0905660377358491</v>
      </c>
      <c r="AG13" s="42" t="n">
        <f aca="false">IFERROR((K13-AB13-AC13)/H13,0)</f>
        <v>0.0255849056603774</v>
      </c>
      <c r="AH13" s="34" t="s">
        <v>180</v>
      </c>
      <c r="AI13" s="33" t="n">
        <v>12</v>
      </c>
      <c r="AJ13" s="34" t="s">
        <v>181</v>
      </c>
      <c r="AK13" s="43" t="s">
        <v>141</v>
      </c>
    </row>
    <row r="14" customFormat="false" ht="23.85" hidden="false" customHeight="false" outlineLevel="0" collapsed="false">
      <c r="A14" s="13" t="n">
        <v>9</v>
      </c>
      <c r="B14" s="25" t="s">
        <v>182</v>
      </c>
      <c r="C14" s="25" t="s">
        <v>151</v>
      </c>
      <c r="D14" s="26" t="s">
        <v>75</v>
      </c>
      <c r="E14" s="25" t="s">
        <v>135</v>
      </c>
      <c r="F14" s="25" t="s">
        <v>183</v>
      </c>
      <c r="G14" s="19" t="n">
        <v>385000</v>
      </c>
      <c r="H14" s="19" t="n">
        <v>360000</v>
      </c>
      <c r="I14" s="18" t="n">
        <v>0</v>
      </c>
      <c r="J14" s="27" t="n">
        <f aca="false">Assumptions!$C$15</f>
        <v>0.25</v>
      </c>
      <c r="K14" s="19" t="n">
        <v>40000</v>
      </c>
      <c r="L14" s="25" t="s">
        <v>184</v>
      </c>
      <c r="M14" s="26" t="s">
        <v>64</v>
      </c>
      <c r="N14" s="26" t="s">
        <v>147</v>
      </c>
      <c r="O14" s="19" t="n">
        <v>0</v>
      </c>
      <c r="P14" s="19"/>
      <c r="Q14" s="26" t="s">
        <v>93</v>
      </c>
      <c r="R14" s="21" t="n">
        <f aca="false">H14*(1-J14)</f>
        <v>270000</v>
      </c>
      <c r="S14" s="28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H14*INDEX(Assumptions!$C$28:$C$33,MATCH(D14,Assumptions!$B$28:$B$33,0))/12</f>
        <v>450</v>
      </c>
      <c r="V14" s="21" t="n">
        <f aca="false">IF(ISNUMBER(P14),P14,INDEX(Assumptions!$D$28:$D$33,MATCH(D14,Assumptions!$B$28:$B$33,0))+INDEX(Assumptions!$C$22:$C$25,MATCH(M14,Assumptions!$B$22:$B$25,0)))/12</f>
        <v>666.666666666667</v>
      </c>
      <c r="W14" s="21" t="n">
        <f aca="false">T14+U14+V14+O14</f>
        <v>2958.54262281838</v>
      </c>
      <c r="X14" s="29" t="n">
        <f aca="false">IFERROR(K14/12/W14,0)</f>
        <v>1.12668085550781</v>
      </c>
      <c r="Y14" s="29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K14*INDEX(Assumptions!$H$36:$H$37,MATCH(Q14,Assumptions!$B$36:$B$37,0))+Assumptions!$C$40+IF(N14="Y",Assumptions!$C$41,Assumptions!$C$42)</f>
        <v>20400</v>
      </c>
      <c r="AC14" s="21" t="n">
        <f aca="false">K14*INDEX(Assumptions!$C$36:$C$37,MATCH(Q14,Assumptions!$B$36:$B$37,0))</f>
        <v>8000</v>
      </c>
      <c r="AD14" s="21" t="n">
        <f aca="false">K14-AB14-W14*12</f>
        <v>-15902.5114738206</v>
      </c>
      <c r="AE14" s="21" t="n">
        <f aca="false">AD14-AC14</f>
        <v>-23902.5114738206</v>
      </c>
      <c r="AF14" s="22" t="n">
        <f aca="false">IFERROR(K14/H14,0)</f>
        <v>0.111111111111111</v>
      </c>
      <c r="AG14" s="22" t="n">
        <f aca="false">IFERROR((K14-AB14-AC14)/H14,0)</f>
        <v>0.0322222222222222</v>
      </c>
      <c r="AH14" s="25" t="s">
        <v>185</v>
      </c>
      <c r="AI14" s="13" t="n">
        <v>214</v>
      </c>
      <c r="AJ14" s="25" t="s">
        <v>186</v>
      </c>
      <c r="AK14" s="32" t="s">
        <v>141</v>
      </c>
    </row>
    <row r="15" customFormat="false" ht="46.25" hidden="false" customHeight="false" outlineLevel="0" collapsed="false">
      <c r="A15" s="33" t="n">
        <v>10</v>
      </c>
      <c r="B15" s="34" t="s">
        <v>187</v>
      </c>
      <c r="C15" s="34" t="s">
        <v>188</v>
      </c>
      <c r="D15" s="35" t="s">
        <v>77</v>
      </c>
      <c r="E15" s="34" t="s">
        <v>189</v>
      </c>
      <c r="F15" s="34" t="s">
        <v>190</v>
      </c>
      <c r="G15" s="36" t="n">
        <v>655000</v>
      </c>
      <c r="H15" s="36" t="n">
        <v>655000</v>
      </c>
      <c r="I15" s="37" t="n">
        <v>0</v>
      </c>
      <c r="J15" s="38" t="n">
        <f aca="false">Assumptions!$C$15</f>
        <v>0.25</v>
      </c>
      <c r="K15" s="36" t="n">
        <v>102000</v>
      </c>
      <c r="L15" s="34" t="s">
        <v>191</v>
      </c>
      <c r="M15" s="35" t="s">
        <v>70</v>
      </c>
      <c r="N15" s="35" t="s">
        <v>147</v>
      </c>
      <c r="O15" s="36" t="n">
        <v>0</v>
      </c>
      <c r="P15" s="36"/>
      <c r="Q15" s="35" t="s">
        <v>95</v>
      </c>
      <c r="R15" s="39" t="n">
        <f aca="false">H15*(1-J15)</f>
        <v>491250</v>
      </c>
      <c r="S15" s="40" t="n">
        <f aca="false">IF((1-J15)&gt;0.75,Assumptions!$C$11,IF((1-J15)&gt;0.7,Assumptions!$C$12,Assumptions!$C$13))</f>
        <v>0.0725</v>
      </c>
      <c r="T15" s="39" t="n">
        <f aca="false">PMT(S15/12,Assumptions!$C$14,-R15)</f>
        <v>3351.19097577604</v>
      </c>
      <c r="U15" s="39" t="n">
        <f aca="false">H15*INDEX(Assumptions!$C$28:$C$33,MATCH(D15,Assumptions!$B$28:$B$33,0))/12</f>
        <v>736.875</v>
      </c>
      <c r="V15" s="39" t="n">
        <f aca="false">IF(ISNUMBER(P15),P15,INDEX(Assumptions!$D$28:$D$33,MATCH(D15,Assumptions!$B$28:$B$33,0))+INDEX(Assumptions!$C$22:$C$25,MATCH(M15,Assumptions!$B$22:$B$25,0)))/12</f>
        <v>750</v>
      </c>
      <c r="W15" s="39" t="n">
        <f aca="false">T15+U15+V15+O15</f>
        <v>4838.06597577604</v>
      </c>
      <c r="X15" s="41" t="n">
        <f aca="false">IFERROR(K15/12/W15,0)</f>
        <v>1.75690039006477</v>
      </c>
      <c r="Y15" s="41" t="n">
        <f aca="false">IFERROR(K15*Assumptions!$C$18/12/W15,0)</f>
        <v>1.40552031205181</v>
      </c>
      <c r="Z15" s="39" t="n">
        <f aca="false">H15*J15+H15*(Assumptions!$C$16-I15)</f>
        <v>189950</v>
      </c>
      <c r="AA15" s="39" t="n">
        <f aca="false">W15*Assumptions!$C$17</f>
        <v>29028.3958546563</v>
      </c>
      <c r="AB15" s="39" t="n">
        <f aca="false">K15*INDEX(Assumptions!$H$36:$H$37,MATCH(Q15,Assumptions!$B$36:$B$37,0))+Assumptions!$C$40+IF(N15="Y",Assumptions!$C$41,Assumptions!$C$42)</f>
        <v>23520</v>
      </c>
      <c r="AC15" s="39" t="n">
        <f aca="false">K15*INDEX(Assumptions!$C$36:$C$37,MATCH(Q15,Assumptions!$B$36:$B$37,0))</f>
        <v>12240</v>
      </c>
      <c r="AD15" s="39" t="n">
        <f aca="false">K15-AB15-W15*12</f>
        <v>20423.2082906875</v>
      </c>
      <c r="AE15" s="39" t="n">
        <f aca="false">AD15-AC15</f>
        <v>8183.20829068749</v>
      </c>
      <c r="AF15" s="42" t="n">
        <f aca="false">IFERROR(K15/H15,0)</f>
        <v>0.155725190839695</v>
      </c>
      <c r="AG15" s="42" t="n">
        <f aca="false">IFERROR((K15-AB15-AC15)/H15,0)</f>
        <v>0.101129770992366</v>
      </c>
      <c r="AH15" s="34" t="s">
        <v>192</v>
      </c>
      <c r="AI15" s="33" t="n">
        <v>5</v>
      </c>
      <c r="AJ15" s="34" t="s">
        <v>193</v>
      </c>
      <c r="AK15" s="43" t="s">
        <v>141</v>
      </c>
    </row>
    <row r="16" customFormat="false" ht="23.85" hidden="false" customHeight="false" outlineLevel="0" collapsed="false">
      <c r="A16" s="13" t="n">
        <v>11</v>
      </c>
      <c r="B16" s="25" t="s">
        <v>194</v>
      </c>
      <c r="C16" s="25" t="s">
        <v>195</v>
      </c>
      <c r="D16" s="26" t="s">
        <v>75</v>
      </c>
      <c r="E16" s="25" t="s">
        <v>196</v>
      </c>
      <c r="F16" s="25" t="s">
        <v>197</v>
      </c>
      <c r="G16" s="19" t="n">
        <v>279000</v>
      </c>
      <c r="H16" s="19" t="n">
        <v>279000</v>
      </c>
      <c r="I16" s="18" t="n">
        <v>0</v>
      </c>
      <c r="J16" s="27" t="n">
        <f aca="false">Assumptions!$C$15</f>
        <v>0.25</v>
      </c>
      <c r="K16" s="19" t="n">
        <v>44000</v>
      </c>
      <c r="L16" s="25" t="s">
        <v>198</v>
      </c>
      <c r="M16" s="26" t="s">
        <v>70</v>
      </c>
      <c r="N16" s="26" t="s">
        <v>147</v>
      </c>
      <c r="O16" s="19" t="n">
        <v>477</v>
      </c>
      <c r="P16" s="19"/>
      <c r="Q16" s="26" t="s">
        <v>93</v>
      </c>
      <c r="R16" s="21" t="n">
        <f aca="false">H16*(1-J16)</f>
        <v>209250</v>
      </c>
      <c r="S16" s="28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H16*INDEX(Assumptions!$C$28:$C$33,MATCH(D16,Assumptions!$B$28:$B$33,0))/12</f>
        <v>348.75</v>
      </c>
      <c r="V16" s="21" t="n">
        <f aca="false">IF(ISNUMBER(P16),P16,INDEX(Assumptions!$D$28:$D$33,MATCH(D16,Assumptions!$B$28:$B$33,0))+INDEX(Assumptions!$C$22:$C$25,MATCH(M16,Assumptions!$B$22:$B$25,0)))/12</f>
        <v>750</v>
      </c>
      <c r="W16" s="21" t="n">
        <f aca="false">T16+U16+V16+O16</f>
        <v>3003.20386601758</v>
      </c>
      <c r="X16" s="29" t="n">
        <f aca="false">IFERROR(K16/12/W16,0)</f>
        <v>1.22091833596661</v>
      </c>
      <c r="Y16" s="29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K16*INDEX(Assumptions!$H$36:$H$37,MATCH(Q16,Assumptions!$B$36:$B$37,0))+Assumptions!$C$40+IF(N16="Y",Assumptions!$C$41,Assumptions!$C$42)</f>
        <v>21720</v>
      </c>
      <c r="AC16" s="21" t="n">
        <f aca="false">K16*INDEX(Assumptions!$C$36:$C$37,MATCH(Q16,Assumptions!$B$36:$B$37,0))</f>
        <v>8800</v>
      </c>
      <c r="AD16" s="21" t="n">
        <f aca="false">K16-AB16-W16*12</f>
        <v>-13758.446392211</v>
      </c>
      <c r="AE16" s="21" t="n">
        <f aca="false">AD16-AC16</f>
        <v>-22558.446392211</v>
      </c>
      <c r="AF16" s="22" t="n">
        <f aca="false">IFERROR(K16/H16,0)</f>
        <v>0.157706093189964</v>
      </c>
      <c r="AG16" s="22" t="n">
        <f aca="false">IFERROR((K16-AB16-AC16)/H16,0)</f>
        <v>0.0483154121863799</v>
      </c>
      <c r="AH16" s="25"/>
      <c r="AI16" s="13" t="n">
        <v>55</v>
      </c>
      <c r="AJ16" s="25" t="s">
        <v>199</v>
      </c>
      <c r="AK16" s="32" t="s">
        <v>141</v>
      </c>
    </row>
    <row r="17" customFormat="false" ht="23.85" hidden="false" customHeight="false" outlineLevel="0" collapsed="false">
      <c r="A17" s="33" t="n">
        <v>12</v>
      </c>
      <c r="B17" s="34" t="s">
        <v>200</v>
      </c>
      <c r="C17" s="34" t="s">
        <v>201</v>
      </c>
      <c r="D17" s="35" t="s">
        <v>77</v>
      </c>
      <c r="E17" s="34" t="s">
        <v>202</v>
      </c>
      <c r="F17" s="34" t="s">
        <v>203</v>
      </c>
      <c r="G17" s="36" t="n">
        <v>639000</v>
      </c>
      <c r="H17" s="36" t="n">
        <v>639000</v>
      </c>
      <c r="I17" s="37" t="n">
        <v>0</v>
      </c>
      <c r="J17" s="38" t="n">
        <f aca="false">Assumptions!$C$15</f>
        <v>0.25</v>
      </c>
      <c r="K17" s="36" t="n">
        <v>50000</v>
      </c>
      <c r="L17" s="34" t="s">
        <v>204</v>
      </c>
      <c r="M17" s="35" t="s">
        <v>66</v>
      </c>
      <c r="N17" s="35" t="s">
        <v>147</v>
      </c>
      <c r="O17" s="36" t="n">
        <v>945</v>
      </c>
      <c r="P17" s="36"/>
      <c r="Q17" s="35" t="s">
        <v>93</v>
      </c>
      <c r="R17" s="39" t="n">
        <f aca="false">H17*(1-J17)</f>
        <v>479250</v>
      </c>
      <c r="S17" s="40" t="n">
        <f aca="false">IF((1-J17)&gt;0.75,Assumptions!$C$11,IF((1-J17)&gt;0.7,Assumptions!$C$12,Assumptions!$C$13))</f>
        <v>0.0725</v>
      </c>
      <c r="T17" s="39" t="n">
        <f aca="false">PMT(S17/12,Assumptions!$C$14,-R17)</f>
        <v>3269.3298221693</v>
      </c>
      <c r="U17" s="39" t="n">
        <f aca="false">H17*INDEX(Assumptions!$C$28:$C$33,MATCH(D17,Assumptions!$B$28:$B$33,0))/12</f>
        <v>718.875</v>
      </c>
      <c r="V17" s="39" t="n">
        <f aca="false">IF(ISNUMBER(P17),P17,INDEX(Assumptions!$D$28:$D$33,MATCH(D17,Assumptions!$B$28:$B$33,0))+INDEX(Assumptions!$C$22:$C$25,MATCH(M17,Assumptions!$B$22:$B$25,0)))/12</f>
        <v>958.333333333333</v>
      </c>
      <c r="W17" s="39" t="n">
        <f aca="false">T17+U17+V17+O17</f>
        <v>5891.53815550263</v>
      </c>
      <c r="X17" s="41" t="n">
        <f aca="false">IFERROR(K17/12/W17,0)</f>
        <v>0.707229004835528</v>
      </c>
      <c r="Y17" s="41" t="n">
        <f aca="false">IFERROR(K17*Assumptions!$C$18/12/W17,0)</f>
        <v>0.565783203868422</v>
      </c>
      <c r="Z17" s="39" t="n">
        <f aca="false">H17*J17+H17*(Assumptions!$C$16-I17)</f>
        <v>185310</v>
      </c>
      <c r="AA17" s="39" t="n">
        <f aca="false">W17*Assumptions!$C$17</f>
        <v>35349.2289330158</v>
      </c>
      <c r="AB17" s="39" t="n">
        <f aca="false">K17*INDEX(Assumptions!$H$36:$H$37,MATCH(Q17,Assumptions!$B$36:$B$37,0))+Assumptions!$C$40+IF(N17="Y",Assumptions!$C$41,Assumptions!$C$42)</f>
        <v>23700</v>
      </c>
      <c r="AC17" s="39" t="n">
        <f aca="false">K17*INDEX(Assumptions!$C$36:$C$37,MATCH(Q17,Assumptions!$B$36:$B$37,0))</f>
        <v>10000</v>
      </c>
      <c r="AD17" s="39" t="n">
        <f aca="false">K17-AB17-W17*12</f>
        <v>-44398.4578660316</v>
      </c>
      <c r="AE17" s="39" t="n">
        <f aca="false">AD17-AC17</f>
        <v>-54398.4578660316</v>
      </c>
      <c r="AF17" s="42" t="n">
        <f aca="false">IFERROR(K17/H17,0)</f>
        <v>0.0782472613458529</v>
      </c>
      <c r="AG17" s="42" t="n">
        <f aca="false">IFERROR((K17-AB17-AC17)/H17,0)</f>
        <v>0.025508607198748</v>
      </c>
      <c r="AH17" s="34"/>
      <c r="AI17" s="33" t="n">
        <v>27</v>
      </c>
      <c r="AJ17" s="34" t="s">
        <v>205</v>
      </c>
      <c r="AK17" s="43" t="s">
        <v>141</v>
      </c>
    </row>
    <row r="20" customFormat="false" ht="15" hidden="false" customHeight="false" outlineLevel="0" collapsed="false">
      <c r="A20" s="10" t="s">
        <v>206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207</v>
      </c>
      <c r="L21" s="3" t="s">
        <v>208</v>
      </c>
      <c r="AJ21" s="3" t="s">
        <v>209</v>
      </c>
      <c r="AK21" s="3" t="s">
        <v>210</v>
      </c>
    </row>
    <row r="22" customFormat="false" ht="35.05" hidden="false" customHeight="false" outlineLevel="0" collapsed="false">
      <c r="B22" s="25" t="s">
        <v>211</v>
      </c>
      <c r="C22" s="25" t="s">
        <v>134</v>
      </c>
      <c r="G22" s="19" t="n">
        <v>619000</v>
      </c>
      <c r="L22" s="25" t="s">
        <v>212</v>
      </c>
      <c r="AJ22" s="25" t="s">
        <v>213</v>
      </c>
      <c r="AK22" s="32" t="s">
        <v>141</v>
      </c>
    </row>
    <row r="23" customFormat="false" ht="23.85" hidden="false" customHeight="false" outlineLevel="0" collapsed="false">
      <c r="B23" s="25" t="s">
        <v>214</v>
      </c>
      <c r="C23" s="25" t="s">
        <v>215</v>
      </c>
      <c r="G23" s="19" t="n">
        <v>524900</v>
      </c>
      <c r="L23" s="25" t="s">
        <v>216</v>
      </c>
      <c r="AJ23" s="25" t="s">
        <v>213</v>
      </c>
      <c r="AK23" s="32" t="s">
        <v>141</v>
      </c>
    </row>
    <row r="24" customFormat="false" ht="23.85" hidden="false" customHeight="false" outlineLevel="0" collapsed="false">
      <c r="B24" s="25" t="s">
        <v>217</v>
      </c>
      <c r="C24" s="25" t="s">
        <v>151</v>
      </c>
      <c r="G24" s="19" t="n">
        <v>499000</v>
      </c>
      <c r="L24" s="25" t="s">
        <v>218</v>
      </c>
      <c r="AJ24" s="25" t="s">
        <v>213</v>
      </c>
      <c r="AK24" s="32" t="s">
        <v>141</v>
      </c>
    </row>
    <row r="25" customFormat="false" ht="23.85" hidden="false" customHeight="false" outlineLevel="0" collapsed="false">
      <c r="B25" s="25" t="s">
        <v>219</v>
      </c>
      <c r="C25" s="25" t="s">
        <v>134</v>
      </c>
      <c r="G25" s="19" t="n">
        <v>450000</v>
      </c>
      <c r="L25" s="25" t="s">
        <v>220</v>
      </c>
      <c r="AJ25" s="25" t="s">
        <v>213</v>
      </c>
      <c r="AK25" s="32" t="s">
        <v>141</v>
      </c>
    </row>
    <row r="26" customFormat="false" ht="35.05" hidden="false" customHeight="false" outlineLevel="0" collapsed="false">
      <c r="B26" s="25" t="s">
        <v>221</v>
      </c>
      <c r="C26" s="25" t="s">
        <v>151</v>
      </c>
      <c r="G26" s="19" t="n">
        <v>625000</v>
      </c>
      <c r="L26" s="25" t="s">
        <v>222</v>
      </c>
      <c r="AJ26" s="25" t="s">
        <v>213</v>
      </c>
      <c r="AK26" s="32" t="s">
        <v>141</v>
      </c>
    </row>
    <row r="27" customFormat="false" ht="35.05" hidden="false" customHeight="false" outlineLevel="0" collapsed="false">
      <c r="B27" s="25" t="s">
        <v>223</v>
      </c>
      <c r="C27" s="25" t="s">
        <v>224</v>
      </c>
      <c r="G27" s="19" t="n">
        <v>419999</v>
      </c>
      <c r="L27" s="25" t="s">
        <v>225</v>
      </c>
      <c r="AJ27" s="25" t="s">
        <v>213</v>
      </c>
      <c r="AK27" s="32" t="s">
        <v>141</v>
      </c>
    </row>
    <row r="28" customFormat="false" ht="23.85" hidden="false" customHeight="false" outlineLevel="0" collapsed="false">
      <c r="B28" s="25" t="s">
        <v>226</v>
      </c>
      <c r="C28" s="25" t="s">
        <v>227</v>
      </c>
      <c r="G28" s="19" t="n">
        <v>374900</v>
      </c>
      <c r="L28" s="25" t="s">
        <v>228</v>
      </c>
      <c r="AJ28" s="25" t="s">
        <v>213</v>
      </c>
      <c r="AK28" s="32" t="s">
        <v>141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229</v>
      </c>
    </row>
    <row r="2" customFormat="false" ht="15" hidden="false" customHeight="false" outlineLevel="0" collapsed="false">
      <c r="A2" s="2" t="s">
        <v>230</v>
      </c>
    </row>
    <row r="3" customFormat="false" ht="15" hidden="false" customHeight="false" outlineLevel="0" collapsed="false">
      <c r="A3" s="2" t="s">
        <v>104</v>
      </c>
    </row>
    <row r="5" customFormat="false" ht="42" hidden="false" customHeight="true" outlineLevel="0" collapsed="false">
      <c r="A5" s="3" t="s">
        <v>105</v>
      </c>
      <c r="B5" s="3" t="s">
        <v>3</v>
      </c>
      <c r="C5" s="3" t="s">
        <v>4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5</v>
      </c>
      <c r="I5" s="3" t="s">
        <v>110</v>
      </c>
      <c r="J5" s="3" t="s">
        <v>111</v>
      </c>
      <c r="K5" s="3" t="s">
        <v>112</v>
      </c>
      <c r="L5" s="3" t="s">
        <v>113</v>
      </c>
      <c r="M5" s="3" t="s">
        <v>114</v>
      </c>
      <c r="N5" s="3" t="s">
        <v>115</v>
      </c>
      <c r="O5" s="3" t="s">
        <v>116</v>
      </c>
      <c r="P5" s="3" t="s">
        <v>117</v>
      </c>
      <c r="Q5" s="3" t="s">
        <v>118</v>
      </c>
      <c r="R5" s="23" t="s">
        <v>119</v>
      </c>
      <c r="S5" s="23" t="s">
        <v>120</v>
      </c>
      <c r="T5" s="23" t="s">
        <v>121</v>
      </c>
      <c r="U5" s="23" t="s">
        <v>122</v>
      </c>
      <c r="V5" s="23" t="s">
        <v>123</v>
      </c>
      <c r="W5" s="23" t="s">
        <v>7</v>
      </c>
      <c r="X5" s="23" t="s">
        <v>8</v>
      </c>
      <c r="Y5" s="23" t="s">
        <v>9</v>
      </c>
      <c r="Z5" s="23" t="s">
        <v>10</v>
      </c>
      <c r="AA5" s="23" t="s">
        <v>124</v>
      </c>
      <c r="AB5" s="23" t="s">
        <v>125</v>
      </c>
      <c r="AC5" s="23" t="s">
        <v>126</v>
      </c>
      <c r="AD5" s="23" t="s">
        <v>11</v>
      </c>
      <c r="AE5" s="23" t="s">
        <v>12</v>
      </c>
      <c r="AF5" s="23" t="s">
        <v>127</v>
      </c>
      <c r="AG5" s="23" t="s">
        <v>128</v>
      </c>
      <c r="AH5" s="3" t="s">
        <v>129</v>
      </c>
      <c r="AI5" s="3" t="s">
        <v>130</v>
      </c>
      <c r="AJ5" s="3" t="s">
        <v>131</v>
      </c>
      <c r="AK5" s="3" t="s">
        <v>132</v>
      </c>
    </row>
    <row r="6" customFormat="false" ht="46.25" hidden="false" customHeight="false" outlineLevel="0" collapsed="false">
      <c r="A6" s="13" t="n">
        <v>1</v>
      </c>
      <c r="B6" s="24" t="s">
        <v>231</v>
      </c>
      <c r="C6" s="25" t="s">
        <v>232</v>
      </c>
      <c r="D6" s="26" t="s">
        <v>18</v>
      </c>
      <c r="E6" s="25" t="s">
        <v>135</v>
      </c>
      <c r="F6" s="25" t="s">
        <v>233</v>
      </c>
      <c r="G6" s="19" t="n">
        <v>499000</v>
      </c>
      <c r="H6" s="19" t="n">
        <v>485000</v>
      </c>
      <c r="I6" s="18" t="n">
        <v>0</v>
      </c>
      <c r="J6" s="27" t="n">
        <f aca="false">Assumptions!$C$15</f>
        <v>0.25</v>
      </c>
      <c r="K6" s="19" t="n">
        <v>71000</v>
      </c>
      <c r="L6" s="25" t="s">
        <v>234</v>
      </c>
      <c r="M6" s="26" t="s">
        <v>70</v>
      </c>
      <c r="N6" s="26" t="s">
        <v>138</v>
      </c>
      <c r="O6" s="19" t="n">
        <v>0</v>
      </c>
      <c r="P6" s="19"/>
      <c r="Q6" s="26" t="s">
        <v>93</v>
      </c>
      <c r="R6" s="21" t="n">
        <f aca="false">H6*(1-J6)</f>
        <v>363750</v>
      </c>
      <c r="S6" s="28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H6*INDEX(Assumptions!$C$28:$C$33,MATCH(D6,Assumptions!$B$28:$B$33,0))/12</f>
        <v>646.666666666667</v>
      </c>
      <c r="V6" s="21" t="n">
        <f aca="false">IF(ISNUMBER(P6),P6,INDEX(Assumptions!$D$28:$D$33,MATCH(D6,Assumptions!$B$28:$B$33,0))+INDEX(Assumptions!$C$22:$C$25,MATCH(M6,Assumptions!$B$22:$B$25,0)))/12</f>
        <v>750</v>
      </c>
      <c r="W6" s="21" t="n">
        <f aca="false">T6+U6+V6+O6</f>
        <v>3878.08288537106</v>
      </c>
      <c r="X6" s="29" t="n">
        <f aca="false">IFERROR(K6/12/W6,0)</f>
        <v>1.52566792447515</v>
      </c>
      <c r="Y6" s="30" t="n">
        <f aca="false">IFERROR(K6*Assumptions!$C$18/12/W6,0)</f>
        <v>1.22053433958012</v>
      </c>
      <c r="Z6" s="31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K6*INDEX(Assumptions!$H$36:$H$37,MATCH(Q6,Assumptions!$B$36:$B$37,0))+Assumptions!$C$40+IF(N6="Y",Assumptions!$C$41,Assumptions!$C$42)</f>
        <v>32430</v>
      </c>
      <c r="AC6" s="21" t="n">
        <f aca="false">K6*INDEX(Assumptions!$C$36:$C$37,MATCH(Q6,Assumptions!$B$36:$B$37,0))</f>
        <v>14200</v>
      </c>
      <c r="AD6" s="21" t="n">
        <f aca="false">K6-AB6-W6*12</f>
        <v>-7966.99462445278</v>
      </c>
      <c r="AE6" s="21" t="n">
        <f aca="false">AD6-AC6</f>
        <v>-22166.9946244528</v>
      </c>
      <c r="AF6" s="22" t="n">
        <f aca="false">IFERROR(K6/H6,0)</f>
        <v>0.14639175257732</v>
      </c>
      <c r="AG6" s="22" t="n">
        <f aca="false">IFERROR((K6-AB6-AC6)/H6,0)</f>
        <v>0.0502474226804124</v>
      </c>
      <c r="AH6" s="25"/>
      <c r="AI6" s="13" t="n">
        <v>29</v>
      </c>
      <c r="AJ6" s="25" t="s">
        <v>235</v>
      </c>
      <c r="AK6" s="32" t="s">
        <v>141</v>
      </c>
    </row>
    <row r="7" customFormat="false" ht="46.25" hidden="false" customHeight="false" outlineLevel="0" collapsed="false">
      <c r="A7" s="33" t="n">
        <v>2</v>
      </c>
      <c r="B7" s="34" t="s">
        <v>236</v>
      </c>
      <c r="C7" s="34" t="s">
        <v>237</v>
      </c>
      <c r="D7" s="35" t="s">
        <v>18</v>
      </c>
      <c r="E7" s="34" t="s">
        <v>135</v>
      </c>
      <c r="F7" s="34" t="s">
        <v>238</v>
      </c>
      <c r="G7" s="36" t="n">
        <v>500000</v>
      </c>
      <c r="H7" s="36" t="n">
        <v>485000</v>
      </c>
      <c r="I7" s="37" t="n">
        <v>0</v>
      </c>
      <c r="J7" s="38" t="n">
        <f aca="false">Assumptions!$C$15</f>
        <v>0.25</v>
      </c>
      <c r="K7" s="36" t="n">
        <v>85000</v>
      </c>
      <c r="L7" s="34" t="s">
        <v>239</v>
      </c>
      <c r="M7" s="35" t="s">
        <v>70</v>
      </c>
      <c r="N7" s="35" t="s">
        <v>138</v>
      </c>
      <c r="O7" s="36" t="n">
        <v>0</v>
      </c>
      <c r="P7" s="36"/>
      <c r="Q7" s="35" t="s">
        <v>93</v>
      </c>
      <c r="R7" s="39" t="n">
        <f aca="false">H7*(1-J7)</f>
        <v>363750</v>
      </c>
      <c r="S7" s="40" t="n">
        <f aca="false">IF((1-J7)&gt;0.75,Assumptions!$C$11,IF((1-J7)&gt;0.7,Assumptions!$C$12,Assumptions!$C$13))</f>
        <v>0.0725</v>
      </c>
      <c r="T7" s="39" t="n">
        <f aca="false">PMT(S7/12,Assumptions!$C$14,-R7)</f>
        <v>2481.4162187044</v>
      </c>
      <c r="U7" s="39" t="n">
        <f aca="false">H7*INDEX(Assumptions!$C$28:$C$33,MATCH(D7,Assumptions!$B$28:$B$33,0))/12</f>
        <v>646.666666666667</v>
      </c>
      <c r="V7" s="39" t="n">
        <f aca="false">IF(ISNUMBER(P7),P7,INDEX(Assumptions!$D$28:$D$33,MATCH(D7,Assumptions!$B$28:$B$33,0))+INDEX(Assumptions!$C$22:$C$25,MATCH(M7,Assumptions!$B$22:$B$25,0)))/12</f>
        <v>750</v>
      </c>
      <c r="W7" s="39" t="n">
        <f aca="false">T7+U7+V7+O7</f>
        <v>3878.08288537106</v>
      </c>
      <c r="X7" s="41" t="n">
        <f aca="false">IFERROR(K7/12/W7,0)</f>
        <v>1.8265038532449</v>
      </c>
      <c r="Y7" s="41" t="n">
        <f aca="false">IFERROR(K7*Assumptions!$C$18/12/W7,0)</f>
        <v>1.46120308259592</v>
      </c>
      <c r="Z7" s="39" t="n">
        <f aca="false">H7*J7+H7*(Assumptions!$C$16-I7)</f>
        <v>140650</v>
      </c>
      <c r="AA7" s="39" t="n">
        <f aca="false">W7*Assumptions!$C$17</f>
        <v>23268.4973122264</v>
      </c>
      <c r="AB7" s="39" t="n">
        <f aca="false">K7*INDEX(Assumptions!$H$36:$H$37,MATCH(Q7,Assumptions!$B$36:$B$37,0))+Assumptions!$C$40+IF(N7="Y",Assumptions!$C$41,Assumptions!$C$42)</f>
        <v>37050</v>
      </c>
      <c r="AC7" s="39" t="n">
        <f aca="false">K7*INDEX(Assumptions!$C$36:$C$37,MATCH(Q7,Assumptions!$B$36:$B$37,0))</f>
        <v>17000</v>
      </c>
      <c r="AD7" s="39" t="n">
        <f aca="false">K7-AB7-W7*12</f>
        <v>1413.00537554723</v>
      </c>
      <c r="AE7" s="39" t="n">
        <f aca="false">AD7-AC7</f>
        <v>-15586.9946244528</v>
      </c>
      <c r="AF7" s="42" t="n">
        <f aca="false">IFERROR(K7/H7,0)</f>
        <v>0.175257731958763</v>
      </c>
      <c r="AG7" s="42" t="n">
        <f aca="false">IFERROR((K7-AB7-AC7)/H7,0)</f>
        <v>0.0638144329896907</v>
      </c>
      <c r="AH7" s="34"/>
      <c r="AI7" s="33" t="n">
        <v>18</v>
      </c>
      <c r="AJ7" s="34" t="s">
        <v>240</v>
      </c>
      <c r="AK7" s="43" t="s">
        <v>141</v>
      </c>
    </row>
    <row r="8" customFormat="false" ht="35.05" hidden="false" customHeight="false" outlineLevel="0" collapsed="false">
      <c r="A8" s="13" t="n">
        <v>3</v>
      </c>
      <c r="B8" s="25" t="s">
        <v>241</v>
      </c>
      <c r="C8" s="25" t="s">
        <v>242</v>
      </c>
      <c r="D8" s="26" t="s">
        <v>18</v>
      </c>
      <c r="E8" s="25" t="s">
        <v>135</v>
      </c>
      <c r="F8" s="25" t="s">
        <v>243</v>
      </c>
      <c r="G8" s="19" t="n">
        <v>359000</v>
      </c>
      <c r="H8" s="19" t="n">
        <v>340000</v>
      </c>
      <c r="I8" s="18" t="n">
        <v>0</v>
      </c>
      <c r="J8" s="27" t="n">
        <f aca="false">Assumptions!$C$15</f>
        <v>0.25</v>
      </c>
      <c r="K8" s="19" t="n">
        <v>51000</v>
      </c>
      <c r="L8" s="25" t="s">
        <v>244</v>
      </c>
      <c r="M8" s="26" t="s">
        <v>70</v>
      </c>
      <c r="N8" s="26" t="s">
        <v>147</v>
      </c>
      <c r="O8" s="19" t="n">
        <v>0</v>
      </c>
      <c r="P8" s="19"/>
      <c r="Q8" s="26" t="s">
        <v>93</v>
      </c>
      <c r="R8" s="21" t="n">
        <f aca="false">H8*(1-J8)</f>
        <v>255000</v>
      </c>
      <c r="S8" s="28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H8*INDEX(Assumptions!$C$28:$C$33,MATCH(D8,Assumptions!$B$28:$B$33,0))/12</f>
        <v>453.333333333333</v>
      </c>
      <c r="V8" s="21" t="n">
        <f aca="false">IF(ISNUMBER(P8),P8,INDEX(Assumptions!$D$28:$D$33,MATCH(D8,Assumptions!$B$28:$B$33,0))+INDEX(Assumptions!$C$22:$C$25,MATCH(M8,Assumptions!$B$22:$B$25,0)))/12</f>
        <v>750</v>
      </c>
      <c r="W8" s="21" t="n">
        <f aca="false">T8+U8+V8+O8</f>
        <v>2942.88284747662</v>
      </c>
      <c r="X8" s="29" t="n">
        <f aca="false">IFERROR(K8/12/W8,0)</f>
        <v>1.4441621431326</v>
      </c>
      <c r="Y8" s="29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K8*INDEX(Assumptions!$H$36:$H$37,MATCH(Q8,Assumptions!$B$36:$B$37,0))+Assumptions!$C$40+IF(N8="Y",Assumptions!$C$41,Assumptions!$C$42)</f>
        <v>24030</v>
      </c>
      <c r="AC8" s="21" t="n">
        <f aca="false">K8*INDEX(Assumptions!$C$36:$C$37,MATCH(Q8,Assumptions!$B$36:$B$37,0))</f>
        <v>10200</v>
      </c>
      <c r="AD8" s="21" t="n">
        <f aca="false">K8-AB8-W8*12</f>
        <v>-8344.59416971947</v>
      </c>
      <c r="AE8" s="21" t="n">
        <f aca="false">AD8-AC8</f>
        <v>-18544.5941697195</v>
      </c>
      <c r="AF8" s="22" t="n">
        <f aca="false">IFERROR(K8/H8,0)</f>
        <v>0.15</v>
      </c>
      <c r="AG8" s="22" t="n">
        <f aca="false">IFERROR((K8-AB8-AC8)/H8,0)</f>
        <v>0.0493235294117647</v>
      </c>
      <c r="AH8" s="25"/>
      <c r="AI8" s="13" t="n">
        <v>257</v>
      </c>
      <c r="AJ8" s="25" t="s">
        <v>245</v>
      </c>
      <c r="AK8" s="32" t="s">
        <v>141</v>
      </c>
    </row>
    <row r="9" customFormat="false" ht="35.05" hidden="false" customHeight="false" outlineLevel="0" collapsed="false">
      <c r="A9" s="33" t="n">
        <v>4</v>
      </c>
      <c r="B9" s="34" t="s">
        <v>246</v>
      </c>
      <c r="C9" s="34" t="s">
        <v>247</v>
      </c>
      <c r="D9" s="35" t="s">
        <v>18</v>
      </c>
      <c r="E9" s="34" t="s">
        <v>196</v>
      </c>
      <c r="F9" s="34" t="s">
        <v>248</v>
      </c>
      <c r="G9" s="36" t="n">
        <v>659900</v>
      </c>
      <c r="H9" s="36" t="n">
        <v>640000</v>
      </c>
      <c r="I9" s="37" t="n">
        <v>0</v>
      </c>
      <c r="J9" s="38" t="n">
        <f aca="false">Assumptions!$C$15</f>
        <v>0.25</v>
      </c>
      <c r="K9" s="36" t="n">
        <v>75000</v>
      </c>
      <c r="L9" s="34" t="s">
        <v>249</v>
      </c>
      <c r="M9" s="35" t="s">
        <v>66</v>
      </c>
      <c r="N9" s="35" t="s">
        <v>147</v>
      </c>
      <c r="O9" s="36" t="n">
        <v>961</v>
      </c>
      <c r="P9" s="36"/>
      <c r="Q9" s="35" t="s">
        <v>93</v>
      </c>
      <c r="R9" s="39" t="n">
        <f aca="false">H9*(1-J9)</f>
        <v>480000</v>
      </c>
      <c r="S9" s="40" t="n">
        <f aca="false">IF((1-J9)&gt;0.75,Assumptions!$C$11,IF((1-J9)&gt;0.7,Assumptions!$C$12,Assumptions!$C$13))</f>
        <v>0.0725</v>
      </c>
      <c r="T9" s="39" t="n">
        <f aca="false">PMT(S9/12,Assumptions!$C$14,-R9)</f>
        <v>3274.44614426972</v>
      </c>
      <c r="U9" s="39" t="n">
        <f aca="false">H9*INDEX(Assumptions!$C$28:$C$33,MATCH(D9,Assumptions!$B$28:$B$33,0))/12</f>
        <v>853.333333333333</v>
      </c>
      <c r="V9" s="39" t="n">
        <f aca="false">IF(ISNUMBER(P9),P9,INDEX(Assumptions!$D$28:$D$33,MATCH(D9,Assumptions!$B$28:$B$33,0))+INDEX(Assumptions!$C$22:$C$25,MATCH(M9,Assumptions!$B$22:$B$25,0)))/12</f>
        <v>958.333333333333</v>
      </c>
      <c r="W9" s="39" t="n">
        <f aca="false">T9+U9+V9+O9</f>
        <v>6047.11281093639</v>
      </c>
      <c r="X9" s="41" t="n">
        <f aca="false">IFERROR(K9/12/W9,0)</f>
        <v>1.03355108386546</v>
      </c>
      <c r="Y9" s="41" t="n">
        <f aca="false">IFERROR(K9*Assumptions!$C$18/12/W9,0)</f>
        <v>0.826840867092367</v>
      </c>
      <c r="Z9" s="39" t="n">
        <f aca="false">H9*J9+H9*(Assumptions!$C$16-I9)</f>
        <v>185600</v>
      </c>
      <c r="AA9" s="39" t="n">
        <f aca="false">W9*Assumptions!$C$17</f>
        <v>36282.6768656183</v>
      </c>
      <c r="AB9" s="39" t="n">
        <f aca="false">K9*INDEX(Assumptions!$H$36:$H$37,MATCH(Q9,Assumptions!$B$36:$B$37,0))+Assumptions!$C$40+IF(N9="Y",Assumptions!$C$41,Assumptions!$C$42)</f>
        <v>31950</v>
      </c>
      <c r="AC9" s="39" t="n">
        <f aca="false">K9*INDEX(Assumptions!$C$36:$C$37,MATCH(Q9,Assumptions!$B$36:$B$37,0))</f>
        <v>15000</v>
      </c>
      <c r="AD9" s="39" t="n">
        <f aca="false">K9-AB9-W9*12</f>
        <v>-29515.3537312367</v>
      </c>
      <c r="AE9" s="39" t="n">
        <f aca="false">AD9-AC9</f>
        <v>-44515.3537312367</v>
      </c>
      <c r="AF9" s="42" t="n">
        <f aca="false">IFERROR(K9/H9,0)</f>
        <v>0.1171875</v>
      </c>
      <c r="AG9" s="42" t="n">
        <f aca="false">IFERROR((K9-AB9-AC9)/H9,0)</f>
        <v>0.043828125</v>
      </c>
      <c r="AH9" s="34"/>
      <c r="AI9" s="33" t="n">
        <v>36</v>
      </c>
      <c r="AJ9" s="34" t="s">
        <v>250</v>
      </c>
      <c r="AK9" s="43" t="s">
        <v>141</v>
      </c>
    </row>
    <row r="10" customFormat="false" ht="23.85" hidden="false" customHeight="false" outlineLevel="0" collapsed="false">
      <c r="A10" s="13" t="n">
        <v>5</v>
      </c>
      <c r="B10" s="25" t="s">
        <v>251</v>
      </c>
      <c r="C10" s="25" t="s">
        <v>247</v>
      </c>
      <c r="D10" s="26" t="s">
        <v>18</v>
      </c>
      <c r="E10" s="25" t="s">
        <v>196</v>
      </c>
      <c r="F10" s="25" t="s">
        <v>252</v>
      </c>
      <c r="G10" s="19" t="n">
        <v>575000</v>
      </c>
      <c r="H10" s="19" t="n">
        <v>560000</v>
      </c>
      <c r="I10" s="18" t="n">
        <v>0</v>
      </c>
      <c r="J10" s="27" t="n">
        <f aca="false">Assumptions!$C$15</f>
        <v>0.25</v>
      </c>
      <c r="K10" s="19" t="n">
        <v>59000</v>
      </c>
      <c r="L10" s="25" t="s">
        <v>253</v>
      </c>
      <c r="M10" s="26" t="s">
        <v>66</v>
      </c>
      <c r="N10" s="26" t="s">
        <v>147</v>
      </c>
      <c r="O10" s="19" t="n">
        <v>630</v>
      </c>
      <c r="P10" s="19"/>
      <c r="Q10" s="26" t="s">
        <v>93</v>
      </c>
      <c r="R10" s="21" t="n">
        <f aca="false">H10*(1-J10)</f>
        <v>420000</v>
      </c>
      <c r="S10" s="28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H10*INDEX(Assumptions!$C$28:$C$33,MATCH(D10,Assumptions!$B$28:$B$33,0))/12</f>
        <v>746.666666666667</v>
      </c>
      <c r="V10" s="21" t="n">
        <f aca="false">IF(ISNUMBER(P10),P10,INDEX(Assumptions!$D$28:$D$33,MATCH(D10,Assumptions!$B$28:$B$33,0))+INDEX(Assumptions!$C$22:$C$25,MATCH(M10,Assumptions!$B$22:$B$25,0)))/12</f>
        <v>958.333333333333</v>
      </c>
      <c r="W10" s="21" t="n">
        <f aca="false">T10+U10+V10+O10</f>
        <v>5200.14037623601</v>
      </c>
      <c r="X10" s="29" t="n">
        <f aca="false">IFERROR(K10/12/W10,0)</f>
        <v>0.945487296676686</v>
      </c>
      <c r="Y10" s="29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K10*INDEX(Assumptions!$H$36:$H$37,MATCH(Q10,Assumptions!$B$36:$B$37,0))+Assumptions!$C$40+IF(N10="Y",Assumptions!$C$41,Assumptions!$C$42)</f>
        <v>26670</v>
      </c>
      <c r="AC10" s="21" t="n">
        <f aca="false">K10*INDEX(Assumptions!$C$36:$C$37,MATCH(Q10,Assumptions!$B$36:$B$37,0))</f>
        <v>11800</v>
      </c>
      <c r="AD10" s="21" t="n">
        <f aca="false">K10-AB10-W10*12</f>
        <v>-30071.6845148321</v>
      </c>
      <c r="AE10" s="21" t="n">
        <f aca="false">AD10-AC10</f>
        <v>-41871.6845148321</v>
      </c>
      <c r="AF10" s="22" t="n">
        <f aca="false">IFERROR(K10/H10,0)</f>
        <v>0.105357142857143</v>
      </c>
      <c r="AG10" s="22" t="n">
        <f aca="false">IFERROR((K10-AB10-AC10)/H10,0)</f>
        <v>0.0366607142857143</v>
      </c>
      <c r="AH10" s="25"/>
      <c r="AI10" s="13" t="n">
        <v>18</v>
      </c>
      <c r="AJ10" s="25" t="s">
        <v>254</v>
      </c>
      <c r="AK10" s="32" t="s">
        <v>141</v>
      </c>
    </row>
    <row r="11" customFormat="false" ht="35.05" hidden="false" customHeight="false" outlineLevel="0" collapsed="false">
      <c r="A11" s="33" t="n">
        <v>6</v>
      </c>
      <c r="B11" s="34" t="s">
        <v>255</v>
      </c>
      <c r="C11" s="34" t="s">
        <v>256</v>
      </c>
      <c r="D11" s="35" t="s">
        <v>18</v>
      </c>
      <c r="E11" s="34" t="s">
        <v>202</v>
      </c>
      <c r="F11" s="34" t="s">
        <v>257</v>
      </c>
      <c r="G11" s="36" t="n">
        <v>614999</v>
      </c>
      <c r="H11" s="36" t="n">
        <v>590000</v>
      </c>
      <c r="I11" s="37" t="n">
        <v>0</v>
      </c>
      <c r="J11" s="38" t="n">
        <f aca="false">Assumptions!$C$15</f>
        <v>0.25</v>
      </c>
      <c r="K11" s="36" t="n">
        <v>47890</v>
      </c>
      <c r="L11" s="34" t="s">
        <v>258</v>
      </c>
      <c r="M11" s="35" t="s">
        <v>68</v>
      </c>
      <c r="N11" s="35" t="s">
        <v>147</v>
      </c>
      <c r="O11" s="36" t="n">
        <v>835</v>
      </c>
      <c r="P11" s="36"/>
      <c r="Q11" s="35" t="s">
        <v>95</v>
      </c>
      <c r="R11" s="39" t="n">
        <f aca="false">H11*(1-J11)</f>
        <v>442500</v>
      </c>
      <c r="S11" s="40" t="n">
        <f aca="false">IF((1-J11)&gt;0.75,Assumptions!$C$11,IF((1-J11)&gt;0.7,Assumptions!$C$12,Assumptions!$C$13))</f>
        <v>0.0725</v>
      </c>
      <c r="T11" s="39" t="n">
        <f aca="false">PMT(S11/12,Assumptions!$C$14,-R11)</f>
        <v>3018.63003924865</v>
      </c>
      <c r="U11" s="39" t="n">
        <f aca="false">H11*INDEX(Assumptions!$C$28:$C$33,MATCH(D11,Assumptions!$B$28:$B$33,0))/12</f>
        <v>786.666666666667</v>
      </c>
      <c r="V11" s="39" t="n">
        <f aca="false">IF(ISNUMBER(P11),P11,INDEX(Assumptions!$D$28:$D$33,MATCH(D11,Assumptions!$B$28:$B$33,0))+INDEX(Assumptions!$C$22:$C$25,MATCH(M11,Assumptions!$B$22:$B$25,0)))/12</f>
        <v>1333.33333333333</v>
      </c>
      <c r="W11" s="39" t="n">
        <f aca="false">T11+U11+V11+O11</f>
        <v>5973.63003924865</v>
      </c>
      <c r="X11" s="41" t="n">
        <f aca="false">IFERROR(K11/12/W11,0)</f>
        <v>0.668075074471015</v>
      </c>
      <c r="Y11" s="41" t="n">
        <f aca="false">IFERROR(K11*Assumptions!$C$18/12/W11,0)</f>
        <v>0.534460059576812</v>
      </c>
      <c r="Z11" s="39" t="n">
        <f aca="false">H11*J11+H11*(Assumptions!$C$16-I11)</f>
        <v>171100</v>
      </c>
      <c r="AA11" s="39" t="n">
        <f aca="false">W11*Assumptions!$C$17</f>
        <v>35841.7802354919</v>
      </c>
      <c r="AB11" s="39" t="n">
        <f aca="false">K11*INDEX(Assumptions!$H$36:$H$37,MATCH(Q11,Assumptions!$B$36:$B$37,0))+Assumptions!$C$40+IF(N11="Y",Assumptions!$C$41,Assumptions!$C$42)</f>
        <v>14862.4</v>
      </c>
      <c r="AC11" s="39" t="n">
        <f aca="false">K11*INDEX(Assumptions!$C$36:$C$37,MATCH(Q11,Assumptions!$B$36:$B$37,0))</f>
        <v>5746.8</v>
      </c>
      <c r="AD11" s="39" t="n">
        <f aca="false">K11-AB11-W11*12</f>
        <v>-38655.9604709838</v>
      </c>
      <c r="AE11" s="39" t="n">
        <f aca="false">AD11-AC11</f>
        <v>-44402.7604709838</v>
      </c>
      <c r="AF11" s="42" t="n">
        <f aca="false">IFERROR(K11/H11,0)</f>
        <v>0.0811694915254237</v>
      </c>
      <c r="AG11" s="42" t="n">
        <f aca="false">IFERROR((K11-AB11-AC11)/H11,0)</f>
        <v>0.0462386440677966</v>
      </c>
      <c r="AH11" s="34"/>
      <c r="AI11" s="33" t="n">
        <v>152</v>
      </c>
      <c r="AJ11" s="34" t="s">
        <v>259</v>
      </c>
      <c r="AK11" s="43" t="s">
        <v>141</v>
      </c>
    </row>
    <row r="12" customFormat="false" ht="35.05" hidden="false" customHeight="false" outlineLevel="0" collapsed="false">
      <c r="A12" s="13" t="n">
        <v>7</v>
      </c>
      <c r="B12" s="25" t="s">
        <v>260</v>
      </c>
      <c r="C12" s="25" t="s">
        <v>261</v>
      </c>
      <c r="D12" s="26" t="s">
        <v>18</v>
      </c>
      <c r="E12" s="25" t="s">
        <v>196</v>
      </c>
      <c r="F12" s="25" t="s">
        <v>262</v>
      </c>
      <c r="G12" s="19" t="n">
        <v>699000</v>
      </c>
      <c r="H12" s="19" t="n">
        <v>699000</v>
      </c>
      <c r="I12" s="18" t="n">
        <v>0</v>
      </c>
      <c r="J12" s="27" t="n">
        <f aca="false">Assumptions!$C$15</f>
        <v>0.25</v>
      </c>
      <c r="K12" s="19" t="n">
        <v>50000</v>
      </c>
      <c r="L12" s="25" t="s">
        <v>263</v>
      </c>
      <c r="M12" s="26" t="s">
        <v>66</v>
      </c>
      <c r="N12" s="26" t="s">
        <v>147</v>
      </c>
      <c r="O12" s="19" t="n">
        <v>1325</v>
      </c>
      <c r="P12" s="19"/>
      <c r="Q12" s="26" t="s">
        <v>93</v>
      </c>
      <c r="R12" s="21" t="n">
        <f aca="false">H12*(1-J12)</f>
        <v>524250</v>
      </c>
      <c r="S12" s="28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H12*INDEX(Assumptions!$C$28:$C$33,MATCH(D12,Assumptions!$B$28:$B$33,0))/12</f>
        <v>932</v>
      </c>
      <c r="V12" s="21" t="n">
        <f aca="false">IF(ISNUMBER(P12),P12,INDEX(Assumptions!$D$28:$D$33,MATCH(D12,Assumptions!$B$28:$B$33,0))+INDEX(Assumptions!$C$22:$C$25,MATCH(M12,Assumptions!$B$22:$B$25,0)))/12</f>
        <v>958.333333333333</v>
      </c>
      <c r="W12" s="21" t="n">
        <f aca="false">T12+U12+V12+O12</f>
        <v>6791.64248152792</v>
      </c>
      <c r="X12" s="29" t="n">
        <f aca="false">IFERROR(K12/12/W12,0)</f>
        <v>0.613499117186936</v>
      </c>
      <c r="Y12" s="29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K12*INDEX(Assumptions!$H$36:$H$37,MATCH(Q12,Assumptions!$B$36:$B$37,0))+Assumptions!$C$40+IF(N12="Y",Assumptions!$C$41,Assumptions!$C$42)</f>
        <v>23700</v>
      </c>
      <c r="AC12" s="21" t="n">
        <f aca="false">K12*INDEX(Assumptions!$C$36:$C$37,MATCH(Q12,Assumptions!$B$36:$B$37,0))</f>
        <v>10000</v>
      </c>
      <c r="AD12" s="21" t="n">
        <f aca="false">K12-AB12-W12*12</f>
        <v>-55199.709778335</v>
      </c>
      <c r="AE12" s="21" t="n">
        <f aca="false">AD12-AC12</f>
        <v>-65199.709778335</v>
      </c>
      <c r="AF12" s="22" t="n">
        <f aca="false">IFERROR(K12/H12,0)</f>
        <v>0.0715307582260372</v>
      </c>
      <c r="AG12" s="22" t="n">
        <f aca="false">IFERROR((K12-AB12-AC12)/H12,0)</f>
        <v>0.0233190271816881</v>
      </c>
      <c r="AH12" s="25"/>
      <c r="AI12" s="13" t="n">
        <v>7</v>
      </c>
      <c r="AJ12" s="25" t="s">
        <v>264</v>
      </c>
      <c r="AK12" s="32" t="s">
        <v>141</v>
      </c>
    </row>
    <row r="15" customFormat="false" ht="15" hidden="false" customHeight="false" outlineLevel="0" collapsed="false">
      <c r="A15" s="10" t="s">
        <v>265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207</v>
      </c>
      <c r="L16" s="3" t="s">
        <v>208</v>
      </c>
      <c r="AJ16" s="3" t="s">
        <v>209</v>
      </c>
      <c r="AK16" s="3" t="s">
        <v>210</v>
      </c>
    </row>
    <row r="17" customFormat="false" ht="35.05" hidden="false" customHeight="false" outlineLevel="0" collapsed="false">
      <c r="B17" s="25" t="s">
        <v>266</v>
      </c>
      <c r="C17" s="25" t="s">
        <v>267</v>
      </c>
      <c r="G17" s="19" t="n">
        <v>699000</v>
      </c>
      <c r="L17" s="25" t="s">
        <v>268</v>
      </c>
      <c r="AJ17" s="25" t="s">
        <v>213</v>
      </c>
      <c r="AK17" s="32" t="s">
        <v>141</v>
      </c>
    </row>
    <row r="18" customFormat="false" ht="35.05" hidden="false" customHeight="false" outlineLevel="0" collapsed="false">
      <c r="B18" s="25" t="s">
        <v>269</v>
      </c>
      <c r="C18" s="25" t="s">
        <v>270</v>
      </c>
      <c r="G18" s="19" t="n">
        <v>629000</v>
      </c>
      <c r="L18" s="25" t="s">
        <v>271</v>
      </c>
      <c r="AJ18" s="25" t="s">
        <v>213</v>
      </c>
      <c r="AK18" s="32" t="s">
        <v>141</v>
      </c>
    </row>
    <row r="19" customFormat="false" ht="35.05" hidden="false" customHeight="false" outlineLevel="0" collapsed="false">
      <c r="B19" s="25" t="s">
        <v>272</v>
      </c>
      <c r="C19" s="25" t="s">
        <v>273</v>
      </c>
      <c r="G19" s="19" t="n">
        <v>575000</v>
      </c>
      <c r="L19" s="25" t="s">
        <v>274</v>
      </c>
      <c r="AJ19" s="25" t="s">
        <v>213</v>
      </c>
      <c r="AK19" s="32" t="s">
        <v>141</v>
      </c>
    </row>
    <row r="20" customFormat="false" ht="23.85" hidden="false" customHeight="false" outlineLevel="0" collapsed="false">
      <c r="B20" s="25" t="s">
        <v>275</v>
      </c>
      <c r="C20" s="25" t="s">
        <v>267</v>
      </c>
      <c r="G20" s="19" t="n">
        <v>599000</v>
      </c>
      <c r="L20" s="25" t="s">
        <v>276</v>
      </c>
      <c r="AJ20" s="25" t="s">
        <v>213</v>
      </c>
      <c r="AK20" s="32" t="s">
        <v>141</v>
      </c>
    </row>
    <row r="21" customFormat="false" ht="35.05" hidden="false" customHeight="false" outlineLevel="0" collapsed="false">
      <c r="B21" s="25" t="s">
        <v>277</v>
      </c>
      <c r="C21" s="25" t="s">
        <v>278</v>
      </c>
      <c r="G21" s="19" t="n">
        <v>550000</v>
      </c>
      <c r="L21" s="25" t="s">
        <v>279</v>
      </c>
      <c r="AJ21" s="25" t="s">
        <v>213</v>
      </c>
      <c r="AK21" s="32" t="s">
        <v>141</v>
      </c>
    </row>
    <row r="22" customFormat="false" ht="23.85" hidden="false" customHeight="false" outlineLevel="0" collapsed="false">
      <c r="B22" s="25" t="s">
        <v>280</v>
      </c>
      <c r="C22" s="25" t="s">
        <v>281</v>
      </c>
      <c r="G22" s="19" t="n">
        <v>425000</v>
      </c>
      <c r="L22" s="25" t="s">
        <v>282</v>
      </c>
      <c r="AJ22" s="25" t="s">
        <v>213</v>
      </c>
      <c r="AK22" s="32" t="s">
        <v>141</v>
      </c>
    </row>
    <row r="23" customFormat="false" ht="35.05" hidden="false" customHeight="false" outlineLevel="0" collapsed="false">
      <c r="B23" s="25" t="s">
        <v>283</v>
      </c>
      <c r="C23" s="25" t="s">
        <v>284</v>
      </c>
      <c r="G23" s="19" t="n">
        <v>550000</v>
      </c>
      <c r="L23" s="25" t="s">
        <v>285</v>
      </c>
      <c r="AJ23" s="25" t="s">
        <v>213</v>
      </c>
      <c r="AK23" s="32" t="s">
        <v>141</v>
      </c>
    </row>
    <row r="24" customFormat="false" ht="23.85" hidden="false" customHeight="false" outlineLevel="0" collapsed="false">
      <c r="B24" s="25" t="s">
        <v>286</v>
      </c>
      <c r="C24" s="25" t="s">
        <v>287</v>
      </c>
      <c r="G24" s="19" t="n">
        <v>524900</v>
      </c>
      <c r="L24" s="25" t="s">
        <v>288</v>
      </c>
      <c r="AJ24" s="25" t="s">
        <v>213</v>
      </c>
      <c r="AK24" s="32" t="s">
        <v>141</v>
      </c>
    </row>
    <row r="25" customFormat="false" ht="35.05" hidden="false" customHeight="false" outlineLevel="0" collapsed="false">
      <c r="B25" s="25" t="s">
        <v>289</v>
      </c>
      <c r="C25" s="25" t="s">
        <v>290</v>
      </c>
      <c r="G25" s="19" t="n">
        <v>490000</v>
      </c>
      <c r="L25" s="25" t="s">
        <v>291</v>
      </c>
      <c r="AJ25" s="25" t="s">
        <v>213</v>
      </c>
      <c r="AK25" s="32" t="s">
        <v>141</v>
      </c>
    </row>
    <row r="26" customFormat="false" ht="23.85" hidden="false" customHeight="false" outlineLevel="0" collapsed="false">
      <c r="B26" s="25" t="s">
        <v>292</v>
      </c>
      <c r="C26" s="25" t="s">
        <v>290</v>
      </c>
      <c r="G26" s="19" t="n">
        <v>585000</v>
      </c>
      <c r="L26" s="25" t="s">
        <v>293</v>
      </c>
      <c r="AJ26" s="25" t="s">
        <v>213</v>
      </c>
      <c r="AK26" s="32" t="s">
        <v>141</v>
      </c>
    </row>
    <row r="27" customFormat="false" ht="23.85" hidden="false" customHeight="false" outlineLevel="0" collapsed="false">
      <c r="B27" s="25" t="s">
        <v>294</v>
      </c>
      <c r="C27" s="25" t="s">
        <v>281</v>
      </c>
      <c r="G27" s="19" t="n">
        <v>520000</v>
      </c>
      <c r="L27" s="25" t="s">
        <v>295</v>
      </c>
      <c r="AJ27" s="25" t="s">
        <v>213</v>
      </c>
      <c r="AK27" s="32" t="s">
        <v>141</v>
      </c>
    </row>
    <row r="28" customFormat="false" ht="35.05" hidden="false" customHeight="false" outlineLevel="0" collapsed="false">
      <c r="B28" s="25" t="s">
        <v>296</v>
      </c>
      <c r="C28" s="25" t="s">
        <v>297</v>
      </c>
      <c r="G28" s="19" t="n">
        <v>499900</v>
      </c>
      <c r="L28" s="25" t="s">
        <v>298</v>
      </c>
      <c r="AJ28" s="25" t="s">
        <v>213</v>
      </c>
      <c r="AK28" s="32" t="s">
        <v>141</v>
      </c>
    </row>
    <row r="29" customFormat="false" ht="46.25" hidden="false" customHeight="false" outlineLevel="0" collapsed="false">
      <c r="B29" s="25" t="s">
        <v>299</v>
      </c>
      <c r="C29" s="25" t="s">
        <v>300</v>
      </c>
      <c r="G29" s="19" t="n">
        <v>594900</v>
      </c>
      <c r="L29" s="25" t="s">
        <v>301</v>
      </c>
      <c r="AJ29" s="25" t="s">
        <v>213</v>
      </c>
      <c r="AK29" s="32" t="s">
        <v>141</v>
      </c>
    </row>
    <row r="30" customFormat="false" ht="35.05" hidden="false" customHeight="false" outlineLevel="0" collapsed="false">
      <c r="B30" s="25" t="s">
        <v>302</v>
      </c>
      <c r="C30" s="25" t="s">
        <v>303</v>
      </c>
      <c r="G30" s="19" t="n">
        <v>349900</v>
      </c>
      <c r="L30" s="25" t="s">
        <v>304</v>
      </c>
      <c r="AJ30" s="25" t="s">
        <v>213</v>
      </c>
      <c r="AK30" s="32" t="s">
        <v>141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305</v>
      </c>
    </row>
    <row r="2" customFormat="false" ht="15" hidden="false" customHeight="false" outlineLevel="0" collapsed="false">
      <c r="A2" s="2" t="s">
        <v>306</v>
      </c>
    </row>
    <row r="3" customFormat="false" ht="15" hidden="false" customHeight="false" outlineLevel="0" collapsed="false">
      <c r="A3" s="2" t="s">
        <v>104</v>
      </c>
    </row>
    <row r="5" customFormat="false" ht="42" hidden="false" customHeight="true" outlineLevel="0" collapsed="false">
      <c r="A5" s="3" t="s">
        <v>105</v>
      </c>
      <c r="B5" s="3" t="s">
        <v>3</v>
      </c>
      <c r="C5" s="3" t="s">
        <v>4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5</v>
      </c>
      <c r="I5" s="3" t="s">
        <v>110</v>
      </c>
      <c r="J5" s="3" t="s">
        <v>111</v>
      </c>
      <c r="K5" s="3" t="s">
        <v>112</v>
      </c>
      <c r="L5" s="3" t="s">
        <v>113</v>
      </c>
      <c r="M5" s="3" t="s">
        <v>114</v>
      </c>
      <c r="N5" s="3" t="s">
        <v>115</v>
      </c>
      <c r="O5" s="3" t="s">
        <v>116</v>
      </c>
      <c r="P5" s="3" t="s">
        <v>117</v>
      </c>
      <c r="Q5" s="3" t="s">
        <v>118</v>
      </c>
      <c r="R5" s="23" t="s">
        <v>119</v>
      </c>
      <c r="S5" s="23" t="s">
        <v>120</v>
      </c>
      <c r="T5" s="23" t="s">
        <v>121</v>
      </c>
      <c r="U5" s="23" t="s">
        <v>122</v>
      </c>
      <c r="V5" s="23" t="s">
        <v>123</v>
      </c>
      <c r="W5" s="23" t="s">
        <v>7</v>
      </c>
      <c r="X5" s="23" t="s">
        <v>8</v>
      </c>
      <c r="Y5" s="23" t="s">
        <v>9</v>
      </c>
      <c r="Z5" s="23" t="s">
        <v>10</v>
      </c>
      <c r="AA5" s="23" t="s">
        <v>124</v>
      </c>
      <c r="AB5" s="23" t="s">
        <v>125</v>
      </c>
      <c r="AC5" s="23" t="s">
        <v>126</v>
      </c>
      <c r="AD5" s="23" t="s">
        <v>11</v>
      </c>
      <c r="AE5" s="23" t="s">
        <v>12</v>
      </c>
      <c r="AF5" s="23" t="s">
        <v>127</v>
      </c>
      <c r="AG5" s="23" t="s">
        <v>128</v>
      </c>
      <c r="AH5" s="3" t="s">
        <v>129</v>
      </c>
      <c r="AI5" s="3" t="s">
        <v>130</v>
      </c>
      <c r="AJ5" s="3" t="s">
        <v>131</v>
      </c>
      <c r="AK5" s="3" t="s">
        <v>132</v>
      </c>
    </row>
    <row r="6" customFormat="false" ht="46.25" hidden="false" customHeight="false" outlineLevel="0" collapsed="false">
      <c r="A6" s="13" t="n">
        <v>1</v>
      </c>
      <c r="B6" s="25" t="s">
        <v>307</v>
      </c>
      <c r="C6" s="25" t="s">
        <v>308</v>
      </c>
      <c r="D6" s="26" t="s">
        <v>80</v>
      </c>
      <c r="E6" s="25" t="s">
        <v>135</v>
      </c>
      <c r="F6" s="25" t="s">
        <v>309</v>
      </c>
      <c r="G6" s="19" t="n">
        <v>475000</v>
      </c>
      <c r="H6" s="19" t="n">
        <v>460000</v>
      </c>
      <c r="I6" s="18" t="n">
        <v>0</v>
      </c>
      <c r="J6" s="27" t="n">
        <f aca="false">Assumptions!$C$15</f>
        <v>0.25</v>
      </c>
      <c r="K6" s="19" t="n">
        <v>60000</v>
      </c>
      <c r="L6" s="25" t="s">
        <v>310</v>
      </c>
      <c r="M6" s="26" t="s">
        <v>70</v>
      </c>
      <c r="N6" s="26" t="s">
        <v>138</v>
      </c>
      <c r="O6" s="19" t="n">
        <v>0</v>
      </c>
      <c r="P6" s="19"/>
      <c r="Q6" s="26" t="s">
        <v>93</v>
      </c>
      <c r="R6" s="21" t="n">
        <f aca="false">H6*(1-J6)</f>
        <v>345000</v>
      </c>
      <c r="S6" s="28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H6*INDEX(Assumptions!$C$28:$C$33,MATCH(D6,Assumptions!$B$28:$B$33,0))/12</f>
        <v>651.666666666667</v>
      </c>
      <c r="V6" s="21" t="n">
        <f aca="false">IF(ISNUMBER(P6),P6,INDEX(Assumptions!$D$28:$D$33,MATCH(D6,Assumptions!$B$28:$B$33,0))+INDEX(Assumptions!$C$22:$C$25,MATCH(M6,Assumptions!$B$22:$B$25,0)))/12</f>
        <v>750</v>
      </c>
      <c r="W6" s="21" t="n">
        <f aca="false">T6+U6+V6+O6</f>
        <v>3755.17483286053</v>
      </c>
      <c r="X6" s="29" t="n">
        <f aca="false">IFERROR(K6/12/W6,0)</f>
        <v>1.33149592829776</v>
      </c>
      <c r="Y6" s="29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K6*INDEX(Assumptions!$H$36:$H$37,MATCH(Q6,Assumptions!$B$36:$B$37,0))+Assumptions!$C$40+IF(N6="Y",Assumptions!$C$41,Assumptions!$C$42)</f>
        <v>28800</v>
      </c>
      <c r="AC6" s="21" t="n">
        <f aca="false">K6*INDEX(Assumptions!$C$36:$C$37,MATCH(Q6,Assumptions!$B$36:$B$37,0))</f>
        <v>12000</v>
      </c>
      <c r="AD6" s="21" t="n">
        <f aca="false">K6-AB6-W6*12</f>
        <v>-13862.0979943264</v>
      </c>
      <c r="AE6" s="21" t="n">
        <f aca="false">AD6-AC6</f>
        <v>-25862.0979943264</v>
      </c>
      <c r="AF6" s="22" t="n">
        <f aca="false">IFERROR(K6/H6,0)</f>
        <v>0.130434782608696</v>
      </c>
      <c r="AG6" s="22" t="n">
        <f aca="false">IFERROR((K6-AB6-AC6)/H6,0)</f>
        <v>0.0417391304347826</v>
      </c>
      <c r="AH6" s="25"/>
      <c r="AI6" s="13" t="n">
        <v>14</v>
      </c>
      <c r="AJ6" s="25" t="s">
        <v>311</v>
      </c>
      <c r="AK6" s="32" t="s">
        <v>141</v>
      </c>
    </row>
    <row r="7" customFormat="false" ht="35.05" hidden="false" customHeight="false" outlineLevel="0" collapsed="false">
      <c r="A7" s="33" t="n">
        <v>2</v>
      </c>
      <c r="B7" s="34" t="s">
        <v>312</v>
      </c>
      <c r="C7" s="34" t="s">
        <v>313</v>
      </c>
      <c r="D7" s="35" t="s">
        <v>80</v>
      </c>
      <c r="E7" s="34" t="s">
        <v>202</v>
      </c>
      <c r="F7" s="34" t="s">
        <v>314</v>
      </c>
      <c r="G7" s="36" t="n">
        <v>589900</v>
      </c>
      <c r="H7" s="36" t="n">
        <v>589900</v>
      </c>
      <c r="I7" s="37" t="n">
        <v>0</v>
      </c>
      <c r="J7" s="38" t="n">
        <f aca="false">Assumptions!$C$15</f>
        <v>0.25</v>
      </c>
      <c r="K7" s="36" t="n">
        <v>60000</v>
      </c>
      <c r="L7" s="34" t="s">
        <v>315</v>
      </c>
      <c r="M7" s="35" t="s">
        <v>66</v>
      </c>
      <c r="N7" s="35" t="s">
        <v>147</v>
      </c>
      <c r="O7" s="36" t="n">
        <v>583</v>
      </c>
      <c r="P7" s="36"/>
      <c r="Q7" s="35" t="s">
        <v>93</v>
      </c>
      <c r="R7" s="39" t="n">
        <f aca="false">H7*(1-J7)</f>
        <v>442425</v>
      </c>
      <c r="S7" s="40" t="n">
        <f aca="false">IF((1-J7)&gt;0.75,Assumptions!$C$11,IF((1-J7)&gt;0.7,Assumptions!$C$12,Assumptions!$C$13))</f>
        <v>0.0725</v>
      </c>
      <c r="T7" s="39" t="n">
        <f aca="false">PMT(S7/12,Assumptions!$C$14,-R7)</f>
        <v>3018.11840703861</v>
      </c>
      <c r="U7" s="39" t="n">
        <f aca="false">H7*INDEX(Assumptions!$C$28:$C$33,MATCH(D7,Assumptions!$B$28:$B$33,0))/12</f>
        <v>835.691666666667</v>
      </c>
      <c r="V7" s="39" t="n">
        <f aca="false">IF(ISNUMBER(P7),P7,INDEX(Assumptions!$D$28:$D$33,MATCH(D7,Assumptions!$B$28:$B$33,0))+INDEX(Assumptions!$C$22:$C$25,MATCH(M7,Assumptions!$B$22:$B$25,0)))/12</f>
        <v>958.333333333333</v>
      </c>
      <c r="W7" s="39" t="n">
        <f aca="false">T7+U7+V7+O7</f>
        <v>5395.14340703861</v>
      </c>
      <c r="X7" s="41" t="n">
        <f aca="false">IFERROR(K7/12/W7,0)</f>
        <v>0.926759424684969</v>
      </c>
      <c r="Y7" s="41" t="n">
        <f aca="false">IFERROR(K7*Assumptions!$C$18/12/W7,0)</f>
        <v>0.741407539747975</v>
      </c>
      <c r="Z7" s="39" t="n">
        <f aca="false">H7*J7+H7*(Assumptions!$C$16-I7)</f>
        <v>171071</v>
      </c>
      <c r="AA7" s="39" t="n">
        <f aca="false">W7*Assumptions!$C$17</f>
        <v>32370.8604422316</v>
      </c>
      <c r="AB7" s="39" t="n">
        <f aca="false">K7*INDEX(Assumptions!$H$36:$H$37,MATCH(Q7,Assumptions!$B$36:$B$37,0))+Assumptions!$C$40+IF(N7="Y",Assumptions!$C$41,Assumptions!$C$42)</f>
        <v>27000</v>
      </c>
      <c r="AC7" s="39" t="n">
        <f aca="false">K7*INDEX(Assumptions!$C$36:$C$37,MATCH(Q7,Assumptions!$B$36:$B$37,0))</f>
        <v>12000</v>
      </c>
      <c r="AD7" s="39" t="n">
        <f aca="false">K7-AB7-W7*12</f>
        <v>-31741.7208844633</v>
      </c>
      <c r="AE7" s="39" t="n">
        <f aca="false">AD7-AC7</f>
        <v>-43741.7208844633</v>
      </c>
      <c r="AF7" s="42" t="n">
        <f aca="false">IFERROR(K7/H7,0)</f>
        <v>0.101712154602475</v>
      </c>
      <c r="AG7" s="42" t="n">
        <f aca="false">IFERROR((K7-AB7-AC7)/H7,0)</f>
        <v>0.0355992541108663</v>
      </c>
      <c r="AH7" s="34"/>
      <c r="AI7" s="33" t="n">
        <v>23</v>
      </c>
      <c r="AJ7" s="34" t="s">
        <v>316</v>
      </c>
      <c r="AK7" s="43" t="s">
        <v>141</v>
      </c>
    </row>
    <row r="8" customFormat="false" ht="35.05" hidden="false" customHeight="false" outlineLevel="0" collapsed="false">
      <c r="A8" s="13" t="n">
        <v>3</v>
      </c>
      <c r="B8" s="25" t="s">
        <v>317</v>
      </c>
      <c r="C8" s="25" t="s">
        <v>318</v>
      </c>
      <c r="D8" s="26" t="s">
        <v>82</v>
      </c>
      <c r="E8" s="25" t="s">
        <v>202</v>
      </c>
      <c r="F8" s="25" t="s">
        <v>319</v>
      </c>
      <c r="G8" s="19" t="n">
        <v>530000</v>
      </c>
      <c r="H8" s="19" t="n">
        <v>530000</v>
      </c>
      <c r="I8" s="18" t="n">
        <v>0</v>
      </c>
      <c r="J8" s="27" t="n">
        <f aca="false">Assumptions!$C$15</f>
        <v>0.25</v>
      </c>
      <c r="K8" s="19" t="n">
        <v>29250</v>
      </c>
      <c r="L8" s="25" t="s">
        <v>320</v>
      </c>
      <c r="M8" s="26" t="s">
        <v>70</v>
      </c>
      <c r="N8" s="26" t="s">
        <v>147</v>
      </c>
      <c r="O8" s="19" t="n">
        <v>520</v>
      </c>
      <c r="P8" s="19"/>
      <c r="Q8" s="26" t="s">
        <v>95</v>
      </c>
      <c r="R8" s="21" t="n">
        <f aca="false">H8*(1-J8)</f>
        <v>397500</v>
      </c>
      <c r="S8" s="28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H8*INDEX(Assumptions!$C$28:$C$33,MATCH(D8,Assumptions!$B$28:$B$33,0))/12</f>
        <v>728.75</v>
      </c>
      <c r="V8" s="21" t="n">
        <f aca="false">IF(ISNUMBER(P8),P8,INDEX(Assumptions!$D$28:$D$33,MATCH(D8,Assumptions!$B$28:$B$33,0))+INDEX(Assumptions!$C$22:$C$25,MATCH(M8,Assumptions!$B$22:$B$25,0)))/12</f>
        <v>750</v>
      </c>
      <c r="W8" s="21" t="n">
        <f aca="false">T8+U8+V8+O8</f>
        <v>4710.40071322336</v>
      </c>
      <c r="X8" s="29" t="n">
        <f aca="false">IFERROR(K8/12/W8,0)</f>
        <v>0.51747189854937</v>
      </c>
      <c r="Y8" s="29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K8*INDEX(Assumptions!$H$36:$H$37,MATCH(Q8,Assumptions!$B$36:$B$37,0))+Assumptions!$C$40+IF(N8="Y",Assumptions!$C$41,Assumptions!$C$42)</f>
        <v>11880</v>
      </c>
      <c r="AC8" s="21" t="n">
        <f aca="false">K8*INDEX(Assumptions!$C$36:$C$37,MATCH(Q8,Assumptions!$B$36:$B$37,0))</f>
        <v>3510</v>
      </c>
      <c r="AD8" s="21" t="n">
        <f aca="false">K8-AB8-W8*12</f>
        <v>-39154.8085586803</v>
      </c>
      <c r="AE8" s="21" t="n">
        <f aca="false">AD8-AC8</f>
        <v>-42664.8085586803</v>
      </c>
      <c r="AF8" s="22" t="n">
        <f aca="false">IFERROR(K8/H8,0)</f>
        <v>0.055188679245283</v>
      </c>
      <c r="AG8" s="22" t="n">
        <f aca="false">IFERROR((K8-AB8-AC8)/H8,0)</f>
        <v>0.0261509433962264</v>
      </c>
      <c r="AH8" s="25"/>
      <c r="AI8" s="13" t="n">
        <v>126</v>
      </c>
      <c r="AJ8" s="25" t="s">
        <v>321</v>
      </c>
      <c r="AK8" s="32" t="s">
        <v>141</v>
      </c>
    </row>
    <row r="11" customFormat="false" ht="15" hidden="false" customHeight="false" outlineLevel="0" collapsed="false">
      <c r="A11" s="10" t="s">
        <v>322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207</v>
      </c>
      <c r="L12" s="3" t="s">
        <v>208</v>
      </c>
      <c r="AJ12" s="3" t="s">
        <v>209</v>
      </c>
      <c r="AK12" s="3" t="s">
        <v>210</v>
      </c>
    </row>
    <row r="13" customFormat="false" ht="35.05" hidden="false" customHeight="false" outlineLevel="0" collapsed="false">
      <c r="B13" s="25" t="s">
        <v>323</v>
      </c>
      <c r="C13" s="25" t="s">
        <v>324</v>
      </c>
      <c r="G13" s="19" t="n">
        <v>599000</v>
      </c>
      <c r="L13" s="25" t="s">
        <v>325</v>
      </c>
      <c r="AJ13" s="25" t="s">
        <v>213</v>
      </c>
      <c r="AK13" s="32" t="s">
        <v>141</v>
      </c>
    </row>
    <row r="14" customFormat="false" ht="23.85" hidden="false" customHeight="false" outlineLevel="0" collapsed="false">
      <c r="B14" s="25" t="s">
        <v>326</v>
      </c>
      <c r="C14" s="25" t="s">
        <v>327</v>
      </c>
      <c r="G14" s="19" t="n">
        <v>542500</v>
      </c>
      <c r="L14" s="25" t="s">
        <v>328</v>
      </c>
      <c r="AJ14" s="25" t="s">
        <v>213</v>
      </c>
      <c r="AK14" s="32" t="s">
        <v>141</v>
      </c>
    </row>
    <row r="15" customFormat="false" ht="35.05" hidden="false" customHeight="false" outlineLevel="0" collapsed="false">
      <c r="B15" s="25" t="s">
        <v>329</v>
      </c>
      <c r="C15" s="25" t="s">
        <v>324</v>
      </c>
      <c r="G15" s="19" t="n">
        <v>599900</v>
      </c>
      <c r="L15" s="25" t="s">
        <v>330</v>
      </c>
      <c r="AJ15" s="25" t="s">
        <v>213</v>
      </c>
      <c r="AK15" s="32" t="s">
        <v>141</v>
      </c>
    </row>
    <row r="16" customFormat="false" ht="35.05" hidden="false" customHeight="false" outlineLevel="0" collapsed="false">
      <c r="B16" s="25" t="s">
        <v>331</v>
      </c>
      <c r="C16" s="25" t="s">
        <v>324</v>
      </c>
      <c r="G16" s="19" t="n">
        <v>659900</v>
      </c>
      <c r="L16" s="25" t="s">
        <v>332</v>
      </c>
      <c r="AJ16" s="25" t="s">
        <v>213</v>
      </c>
      <c r="AK16" s="32" t="s">
        <v>141</v>
      </c>
    </row>
    <row r="17" customFormat="false" ht="15" hidden="false" customHeight="false" outlineLevel="0" collapsed="false">
      <c r="B17" s="25" t="s">
        <v>333</v>
      </c>
      <c r="C17" s="25" t="s">
        <v>327</v>
      </c>
      <c r="G17" s="19" t="n">
        <v>390000</v>
      </c>
      <c r="L17" s="25" t="s">
        <v>334</v>
      </c>
      <c r="AJ17" s="25" t="s">
        <v>213</v>
      </c>
      <c r="AK17" s="32" t="s">
        <v>141</v>
      </c>
    </row>
    <row r="18" customFormat="false" ht="23.85" hidden="false" customHeight="false" outlineLevel="0" collapsed="false">
      <c r="B18" s="25" t="s">
        <v>335</v>
      </c>
      <c r="C18" s="25" t="s">
        <v>336</v>
      </c>
      <c r="G18" s="19" t="n">
        <v>599000</v>
      </c>
      <c r="L18" s="25" t="s">
        <v>337</v>
      </c>
      <c r="AJ18" s="25" t="s">
        <v>213</v>
      </c>
      <c r="AK18" s="32" t="s">
        <v>141</v>
      </c>
    </row>
    <row r="19" customFormat="false" ht="35.05" hidden="false" customHeight="false" outlineLevel="0" collapsed="false">
      <c r="B19" s="25" t="s">
        <v>338</v>
      </c>
      <c r="C19" s="25" t="s">
        <v>339</v>
      </c>
      <c r="G19" s="19" t="n">
        <v>659000</v>
      </c>
      <c r="L19" s="25" t="s">
        <v>340</v>
      </c>
      <c r="AJ19" s="25" t="s">
        <v>213</v>
      </c>
      <c r="AK19" s="32" t="s">
        <v>141</v>
      </c>
    </row>
    <row r="20" customFormat="false" ht="23.85" hidden="false" customHeight="false" outlineLevel="0" collapsed="false">
      <c r="B20" s="25" t="s">
        <v>341</v>
      </c>
      <c r="C20" s="25" t="s">
        <v>342</v>
      </c>
      <c r="G20" s="19" t="n">
        <v>449900</v>
      </c>
      <c r="L20" s="25" t="s">
        <v>343</v>
      </c>
      <c r="AJ20" s="25" t="s">
        <v>213</v>
      </c>
      <c r="AK20" s="32" t="s">
        <v>141</v>
      </c>
    </row>
    <row r="21" customFormat="false" ht="23.85" hidden="false" customHeight="false" outlineLevel="0" collapsed="false">
      <c r="B21" s="25" t="s">
        <v>344</v>
      </c>
      <c r="C21" s="25" t="s">
        <v>345</v>
      </c>
      <c r="G21" s="19" t="n">
        <v>665000</v>
      </c>
      <c r="L21" s="25" t="s">
        <v>346</v>
      </c>
      <c r="AJ21" s="25" t="s">
        <v>213</v>
      </c>
      <c r="AK21" s="32" t="s">
        <v>141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Zillow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347</v>
      </c>
    </row>
    <row r="2" customFormat="false" ht="15" hidden="false" customHeight="false" outlineLevel="0" collapsed="false">
      <c r="A2" s="2" t="s">
        <v>348</v>
      </c>
    </row>
    <row r="4" customFormat="false" ht="42" hidden="false" customHeight="true" outlineLevel="0" collapsed="false">
      <c r="A4" s="3" t="s">
        <v>349</v>
      </c>
      <c r="B4" s="3" t="s">
        <v>350</v>
      </c>
      <c r="C4" s="3" t="s">
        <v>5</v>
      </c>
      <c r="D4" s="3" t="s">
        <v>110</v>
      </c>
      <c r="E4" s="3" t="s">
        <v>351</v>
      </c>
      <c r="F4" s="3" t="s">
        <v>352</v>
      </c>
      <c r="G4" s="3" t="s">
        <v>120</v>
      </c>
      <c r="H4" s="3" t="s">
        <v>121</v>
      </c>
      <c r="I4" s="3" t="s">
        <v>7</v>
      </c>
      <c r="J4" s="3" t="s">
        <v>8</v>
      </c>
      <c r="K4" s="3" t="s">
        <v>353</v>
      </c>
      <c r="L4" s="3" t="s">
        <v>354</v>
      </c>
      <c r="M4" s="3" t="s">
        <v>11</v>
      </c>
      <c r="N4" s="3" t="s">
        <v>12</v>
      </c>
      <c r="O4" s="3" t="s">
        <v>355</v>
      </c>
      <c r="P4" s="3" t="s">
        <v>356</v>
      </c>
    </row>
    <row r="5" customFormat="false" ht="15" hidden="false" customHeight="false" outlineLevel="0" collapsed="false">
      <c r="A5" s="44" t="str">
        <f aca="false">'Manatee-Sarasota'!$B$6</f>
        <v>8404 43rd Ave Terrace W</v>
      </c>
      <c r="B5" s="17" t="n">
        <v>0.2</v>
      </c>
      <c r="C5" s="45" t="n">
        <f aca="false">'Manatee-Sarasota'!$H$6</f>
        <v>560000</v>
      </c>
      <c r="D5" s="27" t="n">
        <f aca="false">'Manatee-Sarasota'!$I$6</f>
        <v>0.03</v>
      </c>
      <c r="E5" s="45" t="n">
        <f aca="false">'Manatee-Sarasota'!$K$6</f>
        <v>85000</v>
      </c>
      <c r="F5" s="21" t="n">
        <f aca="false">C5*(1-B5)</f>
        <v>448000</v>
      </c>
      <c r="G5" s="28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$33,MATCH('Manatee-Sarasota'!$D$6,Assumptions!$B$28:$B$33,0))/12+IF(ISNUMBER('Manatee-Sarasota'!$P$6),'Manatee-Sarasota'!$P$6,INDEX(Assumptions!$D$28:$D$33,MATCH('Manatee-Sarasota'!$D$6,Assumptions!$B$28:$B$33,0))+INDEX(Assumptions!$C$22:$C$25,MATCH('Manatee-Sarasota'!$M$6,Assumptions!$B$22:$B$25,0)))/12+'Manatee-Sarasota'!$O$6</f>
        <v>4582.48099831645</v>
      </c>
      <c r="J5" s="29" t="n">
        <f aca="false">IFERROR(E5/12/I5,0)</f>
        <v>1.54574199782512</v>
      </c>
      <c r="K5" s="29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E5-(E5*INDEX(Assumptions!$H$36:$H$37,MATCH('Manatee-Sarasota'!$Q$6,Assumptions!$B$36:$B$37,0))+Assumptions!$C$40+IF('Manatee-Sarasota'!$N$6="Y",Assumptions!$C$41,Assumptions!$C$42))-I5*12</f>
        <v>-7039.77197979741</v>
      </c>
      <c r="N5" s="21" t="n">
        <f aca="false">M5-E5*INDEX(Assumptions!$C$36:$C$37,MATCH('Manatee-Sarasota'!$Q$6,Assumptions!$B$36:$B$37,0))</f>
        <v>-24039.7719797974</v>
      </c>
      <c r="O5" s="22" t="n">
        <f aca="false">IFERROR(M5/L5,0)</f>
        <v>-0.0598620066309303</v>
      </c>
      <c r="P5" s="46" t="s">
        <v>357</v>
      </c>
    </row>
    <row r="6" customFormat="false" ht="15" hidden="false" customHeight="false" outlineLevel="0" collapsed="false">
      <c r="A6" s="44" t="str">
        <f aca="false">'Manatee-Sarasota'!$B$6</f>
        <v>8404 43rd Ave Terrace W</v>
      </c>
      <c r="B6" s="17" t="n">
        <v>0.25</v>
      </c>
      <c r="C6" s="45" t="n">
        <f aca="false">'Manatee-Sarasota'!$H$6</f>
        <v>560000</v>
      </c>
      <c r="D6" s="27" t="n">
        <f aca="false">'Manatee-Sarasota'!$I$6</f>
        <v>0.03</v>
      </c>
      <c r="E6" s="45" t="n">
        <f aca="false">'Manatee-Sarasota'!$K$6</f>
        <v>85000</v>
      </c>
      <c r="F6" s="21" t="n">
        <f aca="false">C6*(1-B6)</f>
        <v>420000</v>
      </c>
      <c r="G6" s="28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$33,MATCH('Manatee-Sarasota'!$D$6,Assumptions!$B$28:$B$33,0))/12+IF(ISNUMBER('Manatee-Sarasota'!$P$6),'Manatee-Sarasota'!$P$6,INDEX(Assumptions!$D$28:$D$33,MATCH('Manatee-Sarasota'!$D$6,Assumptions!$B$28:$B$33,0))+INDEX(Assumptions!$C$22:$C$25,MATCH('Manatee-Sarasota'!$M$6,Assumptions!$B$22:$B$25,0)))/12+'Manatee-Sarasota'!$O$6</f>
        <v>4315.14037623601</v>
      </c>
      <c r="J6" s="29" t="n">
        <f aca="false">IFERROR(E6/12/I6,0)</f>
        <v>1.64150704629265</v>
      </c>
      <c r="K6" s="29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E6-(E6*INDEX(Assumptions!$H$36:$H$37,MATCH('Manatee-Sarasota'!$Q$6,Assumptions!$B$36:$B$37,0))+Assumptions!$C$40+IF('Manatee-Sarasota'!$N$6="Y",Assumptions!$C$41,Assumptions!$C$42))-I6*12</f>
        <v>-3831.68451483207</v>
      </c>
      <c r="N6" s="21" t="n">
        <f aca="false">M6-E6*INDEX(Assumptions!$C$36:$C$37,MATCH('Manatee-Sarasota'!$Q$6,Assumptions!$B$36:$B$37,0))</f>
        <v>-20831.6845148321</v>
      </c>
      <c r="O6" s="22" t="n">
        <f aca="false">IFERROR(M6/L6,0)</f>
        <v>-0.0263165145249455</v>
      </c>
      <c r="P6" s="22" t="n">
        <f aca="false">IFERROR((M6-M5)/(L6-L5),0)</f>
        <v>0.114574552320191</v>
      </c>
    </row>
    <row r="7" customFormat="false" ht="15" hidden="false" customHeight="false" outlineLevel="0" collapsed="false">
      <c r="A7" s="44" t="str">
        <f aca="false">'Manatee-Sarasota'!$B$6</f>
        <v>8404 43rd Ave Terrace W</v>
      </c>
      <c r="B7" s="17" t="n">
        <v>0.3</v>
      </c>
      <c r="C7" s="45" t="n">
        <f aca="false">'Manatee-Sarasota'!$H$6</f>
        <v>560000</v>
      </c>
      <c r="D7" s="27" t="n">
        <f aca="false">'Manatee-Sarasota'!$I$6</f>
        <v>0.03</v>
      </c>
      <c r="E7" s="45" t="n">
        <f aca="false">'Manatee-Sarasota'!$K$6</f>
        <v>85000</v>
      </c>
      <c r="F7" s="21" t="n">
        <f aca="false">C7*(1-B7)</f>
        <v>392000</v>
      </c>
      <c r="G7" s="28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$33,MATCH('Manatee-Sarasota'!$D$6,Assumptions!$B$28:$B$33,0))/12+IF(ISNUMBER('Manatee-Sarasota'!$P$6),'Manatee-Sarasota'!$P$6,INDEX(Assumptions!$D$28:$D$33,MATCH('Manatee-Sarasota'!$D$6,Assumptions!$B$28:$B$33,0))+INDEX(Assumptions!$C$22:$C$25,MATCH('Manatee-Sarasota'!$M$6,Assumptions!$B$22:$B$25,0)))/12+'Manatee-Sarasota'!$O$6</f>
        <v>4090.97661134044</v>
      </c>
      <c r="J7" s="29" t="n">
        <f aca="false">IFERROR(E7/12/I7,0)</f>
        <v>1.73145290386112</v>
      </c>
      <c r="K7" s="29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E7-(E7*INDEX(Assumptions!$H$36:$H$37,MATCH('Manatee-Sarasota'!$Q$6,Assumptions!$B$36:$B$37,0))+Assumptions!$C$40+IF('Manatee-Sarasota'!$N$6="Y",Assumptions!$C$41,Assumptions!$C$42))-I7*12</f>
        <v>-1141.71933608533</v>
      </c>
      <c r="N7" s="21" t="n">
        <f aca="false">M7-E7*INDEX(Assumptions!$C$36:$C$37,MATCH('Manatee-Sarasota'!$Q$6,Assumptions!$B$36:$B$37,0))</f>
        <v>-18141.7193360853</v>
      </c>
      <c r="O7" s="22" t="n">
        <f aca="false">IFERROR(M7/L7,0)</f>
        <v>-0.00657672428620584</v>
      </c>
      <c r="P7" s="22" t="n">
        <f aca="false">IFERROR((M7-M6)/(L7-L6),0)</f>
        <v>0.0960701849552406</v>
      </c>
    </row>
    <row r="9" customFormat="false" ht="15" hidden="false" customHeight="false" outlineLevel="0" collapsed="false">
      <c r="A9" s="44" t="str">
        <f aca="false">'Manatee-Sarasota'!$B$7</f>
        <v>5318 17th St W (duplex)</v>
      </c>
      <c r="B9" s="17" t="n">
        <v>0.2</v>
      </c>
      <c r="C9" s="45" t="n">
        <f aca="false">'Manatee-Sarasota'!$H$7</f>
        <v>460000</v>
      </c>
      <c r="D9" s="27" t="n">
        <f aca="false">'Manatee-Sarasota'!$I$7</f>
        <v>0</v>
      </c>
      <c r="E9" s="45" t="n">
        <f aca="false">'Manatee-Sarasota'!$K$7</f>
        <v>73000</v>
      </c>
      <c r="F9" s="21" t="n">
        <f aca="false">C9*(1-B9)</f>
        <v>368000</v>
      </c>
      <c r="G9" s="28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$33,MATCH('Manatee-Sarasota'!$D$7,Assumptions!$B$28:$B$33,0))/12+IF(ISNUMBER('Manatee-Sarasota'!$P$7),'Manatee-Sarasota'!$P$7,INDEX(Assumptions!$D$28:$D$33,MATCH('Manatee-Sarasota'!$D$7,Assumptions!$B$28:$B$33,0))+INDEX(Assumptions!$C$22:$C$25,MATCH('Manatee-Sarasota'!$M$7,Assumptions!$B$22:$B$25,0)))/12+'Manatee-Sarasota'!$O$7</f>
        <v>3898.10939147423</v>
      </c>
      <c r="J9" s="29" t="n">
        <f aca="false">IFERROR(E9/12/I9,0)</f>
        <v>1.56058558711526</v>
      </c>
      <c r="K9" s="29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E9-(E9*INDEX(Assumptions!$H$36:$H$37,MATCH('Manatee-Sarasota'!$Q$7,Assumptions!$B$36:$B$37,0))+Assumptions!$C$40+IF('Manatee-Sarasota'!$N$7="Y",Assumptions!$C$41,Assumptions!$C$42))-I9*12</f>
        <v>-5067.31269769074</v>
      </c>
      <c r="N9" s="21" t="n">
        <f aca="false">M9-E9*INDEX(Assumptions!$C$36:$C$37,MATCH('Manatee-Sarasota'!$Q$7,Assumptions!$B$36:$B$37,0))</f>
        <v>-19667.3126976907</v>
      </c>
      <c r="O9" s="22" t="n">
        <f aca="false">IFERROR(M9/L9,0)</f>
        <v>-0.0458995715370538</v>
      </c>
      <c r="P9" s="46" t="s">
        <v>357</v>
      </c>
    </row>
    <row r="10" customFormat="false" ht="15" hidden="false" customHeight="false" outlineLevel="0" collapsed="false">
      <c r="A10" s="44" t="str">
        <f aca="false">'Manatee-Sarasota'!$B$7</f>
        <v>5318 17th St W (duplex)</v>
      </c>
      <c r="B10" s="17" t="n">
        <v>0.25</v>
      </c>
      <c r="C10" s="45" t="n">
        <f aca="false">'Manatee-Sarasota'!$H$7</f>
        <v>460000</v>
      </c>
      <c r="D10" s="27" t="n">
        <f aca="false">'Manatee-Sarasota'!$I$7</f>
        <v>0</v>
      </c>
      <c r="E10" s="45" t="n">
        <f aca="false">'Manatee-Sarasota'!$K$7</f>
        <v>73000</v>
      </c>
      <c r="F10" s="21" t="n">
        <f aca="false">C10*(1-B10)</f>
        <v>345000</v>
      </c>
      <c r="G10" s="28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$33,MATCH('Manatee-Sarasota'!$D$7,Assumptions!$B$28:$B$33,0))/12+IF(ISNUMBER('Manatee-Sarasota'!$P$7),'Manatee-Sarasota'!$P$7,INDEX(Assumptions!$D$28:$D$33,MATCH('Manatee-Sarasota'!$D$7,Assumptions!$B$28:$B$33,0))+INDEX(Assumptions!$C$22:$C$25,MATCH('Manatee-Sarasota'!$M$7,Assumptions!$B$22:$B$25,0)))/12+'Manatee-Sarasota'!$O$7</f>
        <v>3678.50816619386</v>
      </c>
      <c r="J10" s="29" t="n">
        <f aca="false">IFERROR(E10/12/I10,0)</f>
        <v>1.65375012328102</v>
      </c>
      <c r="K10" s="29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E10-(E10*INDEX(Assumptions!$H$36:$H$37,MATCH('Manatee-Sarasota'!$Q$7,Assumptions!$B$36:$B$37,0))+Assumptions!$C$40+IF('Manatee-Sarasota'!$N$7="Y",Assumptions!$C$41,Assumptions!$C$42))-I10*12</f>
        <v>-2432.09799432634</v>
      </c>
      <c r="N10" s="21" t="n">
        <f aca="false">M10-E10*INDEX(Assumptions!$C$36:$C$37,MATCH('Manatee-Sarasota'!$Q$7,Assumptions!$B$36:$B$37,0))</f>
        <v>-17032.0979943263</v>
      </c>
      <c r="O10" s="22" t="n">
        <f aca="false">IFERROR(M10/L10,0)</f>
        <v>-0.0182316191478737</v>
      </c>
      <c r="P10" s="22" t="n">
        <f aca="false">IFERROR((M10-M9)/(L10-L9),0)</f>
        <v>0.114574552320191</v>
      </c>
    </row>
    <row r="11" customFormat="false" ht="15" hidden="false" customHeight="false" outlineLevel="0" collapsed="false">
      <c r="A11" s="44" t="str">
        <f aca="false">'Manatee-Sarasota'!$B$7</f>
        <v>5318 17th St W (duplex)</v>
      </c>
      <c r="B11" s="17" t="n">
        <v>0.3</v>
      </c>
      <c r="C11" s="45" t="n">
        <f aca="false">'Manatee-Sarasota'!$H$7</f>
        <v>460000</v>
      </c>
      <c r="D11" s="27" t="n">
        <f aca="false">'Manatee-Sarasota'!$I$7</f>
        <v>0</v>
      </c>
      <c r="E11" s="45" t="n">
        <f aca="false">'Manatee-Sarasota'!$K$7</f>
        <v>73000</v>
      </c>
      <c r="F11" s="21" t="n">
        <f aca="false">C11*(1-B11)</f>
        <v>322000</v>
      </c>
      <c r="G11" s="28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$33,MATCH('Manatee-Sarasota'!$D$7,Assumptions!$B$28:$B$33,0))/12+IF(ISNUMBER('Manatee-Sarasota'!$P$7),'Manatee-Sarasota'!$P$7,INDEX(Assumptions!$D$28:$D$33,MATCH('Manatee-Sarasota'!$D$7,Assumptions!$B$28:$B$33,0))+INDEX(Assumptions!$C$22:$C$25,MATCH('Manatee-Sarasota'!$M$7,Assumptions!$B$22:$B$25,0)))/12+'Manatee-Sarasota'!$O$7</f>
        <v>3494.37364502965</v>
      </c>
      <c r="J11" s="29" t="n">
        <f aca="false">IFERROR(E11/12/I11,0)</f>
        <v>1.74089377705392</v>
      </c>
      <c r="K11" s="29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E11-(E11*INDEX(Assumptions!$H$36:$H$37,MATCH('Manatee-Sarasota'!$Q$7,Assumptions!$B$36:$B$37,0))+Assumptions!$C$40+IF('Manatee-Sarasota'!$N$7="Y",Assumptions!$C$41,Assumptions!$C$42))-I11*12</f>
        <v>-222.483740355812</v>
      </c>
      <c r="N11" s="21" t="n">
        <f aca="false">M11-E11*INDEX(Assumptions!$C$36:$C$37,MATCH('Manatee-Sarasota'!$Q$7,Assumptions!$B$36:$B$37,0))</f>
        <v>-14822.4837403558</v>
      </c>
      <c r="O11" s="22" t="n">
        <f aca="false">IFERROR(M11/L11,0)</f>
        <v>-0.00142253030918038</v>
      </c>
      <c r="P11" s="22" t="n">
        <f aca="false">IFERROR((M11-M10)/(L11-L10),0)</f>
        <v>0.0960701849552405</v>
      </c>
    </row>
    <row r="13" customFormat="false" ht="15" hidden="false" customHeight="false" outlineLevel="0" collapsed="false">
      <c r="A13" s="44" t="str">
        <f aca="false">'Manatee-Sarasota'!$B$8</f>
        <v>2801 23rd Ave W ("Beachin' Escape")</v>
      </c>
      <c r="B13" s="17" t="n">
        <v>0.2</v>
      </c>
      <c r="C13" s="45" t="n">
        <f aca="false">'Manatee-Sarasota'!$H$8</f>
        <v>600000</v>
      </c>
      <c r="D13" s="27" t="n">
        <f aca="false">'Manatee-Sarasota'!$I$8</f>
        <v>0.03</v>
      </c>
      <c r="E13" s="45" t="n">
        <f aca="false">'Manatee-Sarasota'!$K$8</f>
        <v>89000</v>
      </c>
      <c r="F13" s="21" t="n">
        <f aca="false">C13*(1-B13)</f>
        <v>480000</v>
      </c>
      <c r="G13" s="28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$33,MATCH('Manatee-Sarasota'!$D$8,Assumptions!$B$28:$B$33,0))/12+IF(ISNUMBER('Manatee-Sarasota'!$P$8),'Manatee-Sarasota'!$P$8,INDEX(Assumptions!$D$28:$D$33,MATCH('Manatee-Sarasota'!$D$8,Assumptions!$B$28:$B$33,0))+INDEX(Assumptions!$C$22:$C$25,MATCH('Manatee-Sarasota'!$M$8,Assumptions!$B$22:$B$25,0)))/12+'Manatee-Sarasota'!$O$8</f>
        <v>4856.22964105334</v>
      </c>
      <c r="J13" s="29" t="n">
        <f aca="false">IFERROR(E13/12/I13,0)</f>
        <v>1.52724792995126</v>
      </c>
      <c r="K13" s="29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E13-(E13*INDEX(Assumptions!$H$36:$H$37,MATCH('Manatee-Sarasota'!$Q$8,Assumptions!$B$36:$B$37,0))+Assumptions!$C$40+IF('Manatee-Sarasota'!$N$8="Y",Assumptions!$C$41,Assumptions!$C$42))-I13*12</f>
        <v>-7644.75569264008</v>
      </c>
      <c r="N13" s="21" t="n">
        <f aca="false">M13-E13*INDEX(Assumptions!$C$36:$C$37,MATCH('Manatee-Sarasota'!$Q$8,Assumptions!$B$36:$B$37,0))</f>
        <v>-25444.7556926401</v>
      </c>
      <c r="O13" s="22" t="n">
        <f aca="false">IFERROR(M13/L13,0)</f>
        <v>-0.0606726642273022</v>
      </c>
      <c r="P13" s="46" t="s">
        <v>357</v>
      </c>
    </row>
    <row r="14" customFormat="false" ht="15" hidden="false" customHeight="false" outlineLevel="0" collapsed="false">
      <c r="A14" s="44" t="str">
        <f aca="false">'Manatee-Sarasota'!$B$8</f>
        <v>2801 23rd Ave W ("Beachin' Escape")</v>
      </c>
      <c r="B14" s="17" t="n">
        <v>0.25</v>
      </c>
      <c r="C14" s="45" t="n">
        <f aca="false">'Manatee-Sarasota'!$H$8</f>
        <v>600000</v>
      </c>
      <c r="D14" s="27" t="n">
        <f aca="false">'Manatee-Sarasota'!$I$8</f>
        <v>0.03</v>
      </c>
      <c r="E14" s="45" t="n">
        <f aca="false">'Manatee-Sarasota'!$K$8</f>
        <v>89000</v>
      </c>
      <c r="F14" s="21" t="n">
        <f aca="false">C14*(1-B14)</f>
        <v>450000</v>
      </c>
      <c r="G14" s="28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$33,MATCH('Manatee-Sarasota'!$D$8,Assumptions!$B$28:$B$33,0))/12+IF(ISNUMBER('Manatee-Sarasota'!$P$8),'Manatee-Sarasota'!$P$8,INDEX(Assumptions!$D$28:$D$33,MATCH('Manatee-Sarasota'!$D$8,Assumptions!$B$28:$B$33,0))+INDEX(Assumptions!$C$22:$C$25,MATCH('Manatee-Sarasota'!$M$8,Assumptions!$B$22:$B$25,0)))/12+'Manatee-Sarasota'!$O$8</f>
        <v>4569.79326025286</v>
      </c>
      <c r="J14" s="29" t="n">
        <f aca="false">IFERROR(E14/12/I14,0)</f>
        <v>1.62297641146599</v>
      </c>
      <c r="K14" s="29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E14-(E14*INDEX(Assumptions!$H$36:$H$37,MATCH('Manatee-Sarasota'!$Q$8,Assumptions!$B$36:$B$37,0))+Assumptions!$C$40+IF('Manatee-Sarasota'!$N$8="Y",Assumptions!$C$41,Assumptions!$C$42))-I14*12</f>
        <v>-4207.51912303436</v>
      </c>
      <c r="N14" s="21" t="n">
        <f aca="false">M14-E14*INDEX(Assumptions!$C$36:$C$37,MATCH('Manatee-Sarasota'!$Q$8,Assumptions!$B$36:$B$37,0))</f>
        <v>-22007.5191230344</v>
      </c>
      <c r="O14" s="22" t="n">
        <f aca="false">IFERROR(M14/L14,0)</f>
        <v>-0.0269712764297075</v>
      </c>
      <c r="P14" s="22" t="n">
        <f aca="false">IFERROR((M14-M13)/(L14-L13),0)</f>
        <v>0.114574552320191</v>
      </c>
    </row>
    <row r="15" customFormat="false" ht="15" hidden="false" customHeight="false" outlineLevel="0" collapsed="false">
      <c r="A15" s="44" t="str">
        <f aca="false">'Manatee-Sarasota'!$B$8</f>
        <v>2801 23rd Ave W ("Beachin' Escape")</v>
      </c>
      <c r="B15" s="17" t="n">
        <v>0.3</v>
      </c>
      <c r="C15" s="45" t="n">
        <f aca="false">'Manatee-Sarasota'!$H$8</f>
        <v>600000</v>
      </c>
      <c r="D15" s="27" t="n">
        <f aca="false">'Manatee-Sarasota'!$I$8</f>
        <v>0.03</v>
      </c>
      <c r="E15" s="45" t="n">
        <f aca="false">'Manatee-Sarasota'!$K$8</f>
        <v>89000</v>
      </c>
      <c r="F15" s="21" t="n">
        <f aca="false">C15*(1-B15)</f>
        <v>420000</v>
      </c>
      <c r="G15" s="28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$33,MATCH('Manatee-Sarasota'!$D$8,Assumptions!$B$28:$B$33,0))/12+IF(ISNUMBER('Manatee-Sarasota'!$P$8),'Manatee-Sarasota'!$P$8,INDEX(Assumptions!$D$28:$D$33,MATCH('Manatee-Sarasota'!$D$8,Assumptions!$B$28:$B$33,0))+INDEX(Assumptions!$C$22:$C$25,MATCH('Manatee-Sarasota'!$M$8,Assumptions!$B$22:$B$25,0)))/12+'Manatee-Sarasota'!$O$8</f>
        <v>4329.61779786476</v>
      </c>
      <c r="J15" s="29" t="n">
        <f aca="false">IFERROR(E15/12/I15,0)</f>
        <v>1.71300724750447</v>
      </c>
      <c r="K15" s="29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E15-(E15*INDEX(Assumptions!$H$36:$H$37,MATCH('Manatee-Sarasota'!$Q$8,Assumptions!$B$36:$B$37,0))+Assumptions!$C$40+IF('Manatee-Sarasota'!$N$8="Y",Assumptions!$C$41,Assumptions!$C$42))-I15*12</f>
        <v>-1325.41357437715</v>
      </c>
      <c r="N15" s="21" t="n">
        <f aca="false">M15-E15*INDEX(Assumptions!$C$36:$C$37,MATCH('Manatee-Sarasota'!$Q$8,Assumptions!$B$36:$B$37,0))</f>
        <v>-19125.4135743771</v>
      </c>
      <c r="O15" s="22" t="n">
        <f aca="false">IFERROR(M15/L15,0)</f>
        <v>-0.0071258794321352</v>
      </c>
      <c r="P15" s="22" t="n">
        <f aca="false">IFERROR((M15-M14)/(L15-L14),0)</f>
        <v>0.0960701849552405</v>
      </c>
    </row>
    <row r="17" customFormat="false" ht="15" hidden="false" customHeight="false" outlineLevel="0" collapsed="false">
      <c r="A17" s="44" t="str">
        <f aca="false">Pinellas!$B$6</f>
        <v>12565 81st Ave</v>
      </c>
      <c r="B17" s="17" t="n">
        <v>0.2</v>
      </c>
      <c r="C17" s="45" t="n">
        <f aca="false">Pinellas!$H$6</f>
        <v>485000</v>
      </c>
      <c r="D17" s="27" t="n">
        <f aca="false">Pinellas!$I$6</f>
        <v>0</v>
      </c>
      <c r="E17" s="45" t="n">
        <f aca="false">Pinellas!$K$6</f>
        <v>71000</v>
      </c>
      <c r="F17" s="21" t="n">
        <f aca="false">C17*(1-B17)</f>
        <v>388000</v>
      </c>
      <c r="G17" s="28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$33,MATCH(Pinellas!$D$6,Assumptions!$B$28:$B$33,0))/12+IF(ISNUMBER(Pinellas!$P$6),Pinellas!$P$6,INDEX(Assumptions!$D$28:$D$33,MATCH(Pinellas!$D$6,Assumptions!$B$28:$B$33,0))+INDEX(Assumptions!$C$22:$C$25,MATCH(Pinellas!$M$6,Assumptions!$B$22:$B$25,0)))/12+Pinellas!$O$6</f>
        <v>4109.61895985145</v>
      </c>
      <c r="J17" s="29" t="n">
        <f aca="false">IFERROR(E17/12/I17,0)</f>
        <v>1.43971174078887</v>
      </c>
      <c r="K17" s="29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E17-(E17*INDEX(Assumptions!$H$36:$H$37,MATCH(Pinellas!$Q$6,Assumptions!$B$36:$B$37,0))+Assumptions!$C$40+IF(Pinellas!$N$6="Y",Assumptions!$C$41,Assumptions!$C$42))-I17*12</f>
        <v>-10745.4275182174</v>
      </c>
      <c r="N17" s="21" t="n">
        <f aca="false">M17-E17*INDEX(Assumptions!$C$36:$C$37,MATCH(Pinellas!$Q$6,Assumptions!$B$36:$B$37,0))</f>
        <v>-24945.4275182174</v>
      </c>
      <c r="O17" s="22" t="n">
        <f aca="false">IFERROR(M17/L17,0)</f>
        <v>-0.0923146694004932</v>
      </c>
      <c r="P17" s="46" t="s">
        <v>357</v>
      </c>
    </row>
    <row r="18" customFormat="false" ht="15" hidden="false" customHeight="false" outlineLevel="0" collapsed="false">
      <c r="A18" s="44" t="str">
        <f aca="false">Pinellas!$B$6</f>
        <v>12565 81st Ave</v>
      </c>
      <c r="B18" s="17" t="n">
        <v>0.25</v>
      </c>
      <c r="C18" s="45" t="n">
        <f aca="false">Pinellas!$H$6</f>
        <v>485000</v>
      </c>
      <c r="D18" s="27" t="n">
        <f aca="false">Pinellas!$I$6</f>
        <v>0</v>
      </c>
      <c r="E18" s="45" t="n">
        <f aca="false">Pinellas!$K$6</f>
        <v>71000</v>
      </c>
      <c r="F18" s="21" t="n">
        <f aca="false">C18*(1-B18)</f>
        <v>363750</v>
      </c>
      <c r="G18" s="28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$33,MATCH(Pinellas!$D$6,Assumptions!$B$28:$B$33,0))/12+IF(ISNUMBER(Pinellas!$P$6),Pinellas!$P$6,INDEX(Assumptions!$D$28:$D$33,MATCH(Pinellas!$D$6,Assumptions!$B$28:$B$33,0))+INDEX(Assumptions!$C$22:$C$25,MATCH(Pinellas!$M$6,Assumptions!$B$22:$B$25,0)))/12+Pinellas!$O$6</f>
        <v>3878.08288537106</v>
      </c>
      <c r="J18" s="29" t="n">
        <f aca="false">IFERROR(E18/12/I18,0)</f>
        <v>1.52566792447515</v>
      </c>
      <c r="K18" s="29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E18-(E18*INDEX(Assumptions!$H$36:$H$37,MATCH(Pinellas!$Q$6,Assumptions!$B$36:$B$37,0))+Assumptions!$C$40+IF(Pinellas!$N$6="Y",Assumptions!$C$41,Assumptions!$C$42))-I18*12</f>
        <v>-7966.99462445278</v>
      </c>
      <c r="N18" s="21" t="n">
        <f aca="false">M18-E18*INDEX(Assumptions!$C$36:$C$37,MATCH(Pinellas!$Q$6,Assumptions!$B$36:$B$37,0))</f>
        <v>-22166.9946244528</v>
      </c>
      <c r="O18" s="22" t="n">
        <f aca="false">IFERROR(M18/L18,0)</f>
        <v>-0.0566441139314097</v>
      </c>
      <c r="P18" s="22" t="n">
        <f aca="false">IFERROR((M18-M17)/(L18-L17),0)</f>
        <v>0.114574552320191</v>
      </c>
    </row>
    <row r="19" customFormat="false" ht="15" hidden="false" customHeight="false" outlineLevel="0" collapsed="false">
      <c r="A19" s="44" t="str">
        <f aca="false">Pinellas!$B$6</f>
        <v>12565 81st Ave</v>
      </c>
      <c r="B19" s="17" t="n">
        <v>0.3</v>
      </c>
      <c r="C19" s="45" t="n">
        <f aca="false">Pinellas!$H$6</f>
        <v>485000</v>
      </c>
      <c r="D19" s="27" t="n">
        <f aca="false">Pinellas!$I$6</f>
        <v>0</v>
      </c>
      <c r="E19" s="45" t="n">
        <f aca="false">Pinellas!$K$6</f>
        <v>71000</v>
      </c>
      <c r="F19" s="21" t="n">
        <f aca="false">C19*(1-B19)</f>
        <v>339500</v>
      </c>
      <c r="G19" s="28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$33,MATCH(Pinellas!$D$6,Assumptions!$B$28:$B$33,0))/12+IF(ISNUMBER(Pinellas!$P$6),Pinellas!$P$6,INDEX(Assumptions!$D$28:$D$33,MATCH(Pinellas!$D$6,Assumptions!$B$28:$B$33,0))+INDEX(Assumptions!$C$22:$C$25,MATCH(Pinellas!$M$6,Assumptions!$B$22:$B$25,0)))/12+Pinellas!$O$6</f>
        <v>3683.94105327402</v>
      </c>
      <c r="J19" s="29" t="n">
        <f aca="false">IFERROR(E19/12/I19,0)</f>
        <v>1.60606985321016</v>
      </c>
      <c r="K19" s="29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E19-(E19*INDEX(Assumptions!$H$36:$H$37,MATCH(Pinellas!$Q$6,Assumptions!$B$36:$B$37,0))+Assumptions!$C$40+IF(Pinellas!$N$6="Y",Assumptions!$C$41,Assumptions!$C$42))-I19*12</f>
        <v>-5637.29263928819</v>
      </c>
      <c r="N19" s="21" t="n">
        <f aca="false">M19-E19*INDEX(Assumptions!$C$36:$C$37,MATCH(Pinellas!$Q$6,Assumptions!$B$36:$B$37,0))</f>
        <v>-19837.2926392882</v>
      </c>
      <c r="O19" s="22" t="n">
        <f aca="false">IFERROR(M19/L19,0)</f>
        <v>-0.03418612880102</v>
      </c>
      <c r="P19" s="22" t="n">
        <f aca="false">IFERROR((M19-M18)/(L19-L18),0)</f>
        <v>0.0960701849552405</v>
      </c>
    </row>
    <row r="21" customFormat="false" ht="15" hidden="false" customHeight="false" outlineLevel="0" collapsed="false">
      <c r="A21" s="44" t="str">
        <f aca="false">Pinellas!$B$7</f>
        <v>4000 46th St N</v>
      </c>
      <c r="B21" s="17" t="n">
        <v>0.2</v>
      </c>
      <c r="C21" s="45" t="n">
        <f aca="false">Pinellas!$H$7</f>
        <v>485000</v>
      </c>
      <c r="D21" s="27" t="n">
        <f aca="false">Pinellas!$I$7</f>
        <v>0</v>
      </c>
      <c r="E21" s="45" t="n">
        <f aca="false">Pinellas!$K$7</f>
        <v>85000</v>
      </c>
      <c r="F21" s="21" t="n">
        <f aca="false">C21*(1-B21)</f>
        <v>388000</v>
      </c>
      <c r="G21" s="28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$33,MATCH(Pinellas!$D$7,Assumptions!$B$28:$B$33,0))/12+IF(ISNUMBER(Pinellas!$P$7),Pinellas!$P$7,INDEX(Assumptions!$D$28:$D$33,MATCH(Pinellas!$D$7,Assumptions!$B$28:$B$33,0))+INDEX(Assumptions!$C$22:$C$25,MATCH(Pinellas!$M$7,Assumptions!$B$22:$B$25,0)))/12+Pinellas!$O$7</f>
        <v>4109.61895985145</v>
      </c>
      <c r="J21" s="29" t="n">
        <f aca="false">IFERROR(E21/12/I21,0)</f>
        <v>1.72359856291625</v>
      </c>
      <c r="K21" s="29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E21-(E21*INDEX(Assumptions!$H$36:$H$37,MATCH(Pinellas!$Q$7,Assumptions!$B$36:$B$37,0))+Assumptions!$C$40+IF(Pinellas!$N$7="Y",Assumptions!$C$41,Assumptions!$C$42))-I21*12</f>
        <v>-1365.4275182174</v>
      </c>
      <c r="N21" s="21" t="n">
        <f aca="false">M21-E21*INDEX(Assumptions!$C$36:$C$37,MATCH(Pinellas!$Q$7,Assumptions!$B$36:$B$37,0))</f>
        <v>-18365.4275182174</v>
      </c>
      <c r="O21" s="22" t="n">
        <f aca="false">IFERROR(M21/L21,0)</f>
        <v>-0.0117304769606306</v>
      </c>
      <c r="P21" s="46" t="s">
        <v>357</v>
      </c>
    </row>
    <row r="22" customFormat="false" ht="15" hidden="false" customHeight="false" outlineLevel="0" collapsed="false">
      <c r="A22" s="44" t="str">
        <f aca="false">Pinellas!$B$7</f>
        <v>4000 46th St N</v>
      </c>
      <c r="B22" s="17" t="n">
        <v>0.25</v>
      </c>
      <c r="C22" s="45" t="n">
        <f aca="false">Pinellas!$H$7</f>
        <v>485000</v>
      </c>
      <c r="D22" s="27" t="n">
        <f aca="false">Pinellas!$I$7</f>
        <v>0</v>
      </c>
      <c r="E22" s="45" t="n">
        <f aca="false">Pinellas!$K$7</f>
        <v>85000</v>
      </c>
      <c r="F22" s="21" t="n">
        <f aca="false">C22*(1-B22)</f>
        <v>363750</v>
      </c>
      <c r="G22" s="28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$33,MATCH(Pinellas!$D$7,Assumptions!$B$28:$B$33,0))/12+IF(ISNUMBER(Pinellas!$P$7),Pinellas!$P$7,INDEX(Assumptions!$D$28:$D$33,MATCH(Pinellas!$D$7,Assumptions!$B$28:$B$33,0))+INDEX(Assumptions!$C$22:$C$25,MATCH(Pinellas!$M$7,Assumptions!$B$22:$B$25,0)))/12+Pinellas!$O$7</f>
        <v>3878.08288537106</v>
      </c>
      <c r="J22" s="29" t="n">
        <f aca="false">IFERROR(E22/12/I22,0)</f>
        <v>1.8265038532449</v>
      </c>
      <c r="K22" s="29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E22-(E22*INDEX(Assumptions!$H$36:$H$37,MATCH(Pinellas!$Q$7,Assumptions!$B$36:$B$37,0))+Assumptions!$C$40+IF(Pinellas!$N$7="Y",Assumptions!$C$41,Assumptions!$C$42))-I22*12</f>
        <v>1413.00537554723</v>
      </c>
      <c r="N22" s="21" t="n">
        <f aca="false">M22-E22*INDEX(Assumptions!$C$36:$C$37,MATCH(Pinellas!$Q$7,Assumptions!$B$36:$B$37,0))</f>
        <v>-15586.9946244528</v>
      </c>
      <c r="O22" s="22" t="n">
        <f aca="false">IFERROR(M22/L22,0)</f>
        <v>0.0100462522257179</v>
      </c>
      <c r="P22" s="22" t="n">
        <f aca="false">IFERROR((M22-M21)/(L22-L21),0)</f>
        <v>0.114574552320191</v>
      </c>
    </row>
    <row r="23" customFormat="false" ht="15" hidden="false" customHeight="false" outlineLevel="0" collapsed="false">
      <c r="A23" s="44" t="str">
        <f aca="false">Pinellas!$B$7</f>
        <v>4000 46th St N</v>
      </c>
      <c r="B23" s="17" t="n">
        <v>0.3</v>
      </c>
      <c r="C23" s="45" t="n">
        <f aca="false">Pinellas!$H$7</f>
        <v>485000</v>
      </c>
      <c r="D23" s="27" t="n">
        <f aca="false">Pinellas!$I$7</f>
        <v>0</v>
      </c>
      <c r="E23" s="45" t="n">
        <f aca="false">Pinellas!$K$7</f>
        <v>85000</v>
      </c>
      <c r="F23" s="21" t="n">
        <f aca="false">C23*(1-B23)</f>
        <v>339500</v>
      </c>
      <c r="G23" s="28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$33,MATCH(Pinellas!$D$7,Assumptions!$B$28:$B$33,0))/12+IF(ISNUMBER(Pinellas!$P$7),Pinellas!$P$7,INDEX(Assumptions!$D$28:$D$33,MATCH(Pinellas!$D$7,Assumptions!$B$28:$B$33,0))+INDEX(Assumptions!$C$22:$C$25,MATCH(Pinellas!$M$7,Assumptions!$B$22:$B$25,0)))/12+Pinellas!$O$7</f>
        <v>3683.94105327402</v>
      </c>
      <c r="J23" s="29" t="n">
        <f aca="false">IFERROR(E23/12/I23,0)</f>
        <v>1.92275968342061</v>
      </c>
      <c r="K23" s="29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E23-(E23*INDEX(Assumptions!$H$36:$H$37,MATCH(Pinellas!$Q$7,Assumptions!$B$36:$B$37,0))+Assumptions!$C$40+IF(Pinellas!$N$7="Y",Assumptions!$C$41,Assumptions!$C$42))-I23*12</f>
        <v>3742.70736071181</v>
      </c>
      <c r="N23" s="21" t="n">
        <f aca="false">M23-E23*INDEX(Assumptions!$C$36:$C$37,MATCH(Pinellas!$Q$7,Assumptions!$B$36:$B$37,0))</f>
        <v>-13257.2926392882</v>
      </c>
      <c r="O23" s="22" t="n">
        <f aca="false">IFERROR(M23/L23,0)</f>
        <v>0.0226968305682948</v>
      </c>
      <c r="P23" s="22" t="n">
        <f aca="false">IFERROR((M23-M22)/(L23-L22),0)</f>
        <v>0.0960701849552405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4" customFormat="false" ht="31.5" hidden="false" customHeight="true" outlineLevel="0" collapsed="false">
      <c r="A4" s="3" t="s">
        <v>105</v>
      </c>
      <c r="B4" s="3" t="s">
        <v>360</v>
      </c>
      <c r="C4" s="3" t="s">
        <v>361</v>
      </c>
      <c r="D4" s="3" t="s">
        <v>362</v>
      </c>
      <c r="E4" s="3" t="s">
        <v>363</v>
      </c>
      <c r="F4" s="3" t="s">
        <v>364</v>
      </c>
      <c r="G4" s="3" t="s">
        <v>365</v>
      </c>
      <c r="H4" s="3" t="s">
        <v>366</v>
      </c>
      <c r="I4" s="3" t="s">
        <v>367</v>
      </c>
      <c r="J4" s="3" t="s">
        <v>13</v>
      </c>
    </row>
    <row r="5" customFormat="false" ht="35.05" hidden="false" customHeight="false" outlineLevel="0" collapsed="false">
      <c r="A5" s="25" t="n">
        <v>1</v>
      </c>
      <c r="B5" s="9" t="s">
        <v>368</v>
      </c>
      <c r="C5" s="9" t="s">
        <v>369</v>
      </c>
      <c r="D5" s="9" t="s">
        <v>370</v>
      </c>
      <c r="E5" s="9" t="s">
        <v>371</v>
      </c>
      <c r="F5" s="9" t="s">
        <v>372</v>
      </c>
      <c r="G5" s="9" t="s">
        <v>373</v>
      </c>
      <c r="H5" s="9" t="s">
        <v>374</v>
      </c>
      <c r="I5" s="9" t="s">
        <v>375</v>
      </c>
      <c r="J5" s="9" t="s">
        <v>376</v>
      </c>
    </row>
    <row r="6" customFormat="false" ht="35.05" hidden="false" customHeight="false" outlineLevel="0" collapsed="false">
      <c r="A6" s="34" t="n">
        <v>2</v>
      </c>
      <c r="B6" s="47" t="s">
        <v>377</v>
      </c>
      <c r="C6" s="47" t="s">
        <v>378</v>
      </c>
      <c r="D6" s="47" t="s">
        <v>379</v>
      </c>
      <c r="E6" s="47" t="s">
        <v>380</v>
      </c>
      <c r="F6" s="47" t="s">
        <v>372</v>
      </c>
      <c r="G6" s="47" t="s">
        <v>381</v>
      </c>
      <c r="H6" s="47" t="s">
        <v>382</v>
      </c>
      <c r="I6" s="47" t="s">
        <v>383</v>
      </c>
      <c r="J6" s="47" t="s">
        <v>384</v>
      </c>
    </row>
    <row r="7" customFormat="false" ht="35.05" hidden="false" customHeight="false" outlineLevel="0" collapsed="false">
      <c r="A7" s="9" t="s">
        <v>385</v>
      </c>
      <c r="B7" s="9" t="s">
        <v>386</v>
      </c>
      <c r="C7" s="9" t="s">
        <v>387</v>
      </c>
      <c r="D7" s="9" t="s">
        <v>388</v>
      </c>
      <c r="E7" s="9" t="s">
        <v>389</v>
      </c>
      <c r="F7" s="9" t="s">
        <v>390</v>
      </c>
      <c r="G7" s="9" t="s">
        <v>391</v>
      </c>
      <c r="H7" s="9" t="s">
        <v>392</v>
      </c>
      <c r="I7" s="9" t="s">
        <v>393</v>
      </c>
      <c r="J7" s="9" t="s">
        <v>394</v>
      </c>
    </row>
    <row r="8" customFormat="false" ht="46.25" hidden="false" customHeight="false" outlineLevel="0" collapsed="false">
      <c r="A8" s="47" t="s">
        <v>395</v>
      </c>
      <c r="B8" s="47" t="s">
        <v>396</v>
      </c>
      <c r="C8" s="47" t="s">
        <v>357</v>
      </c>
      <c r="D8" s="47" t="s">
        <v>357</v>
      </c>
      <c r="E8" s="47" t="s">
        <v>357</v>
      </c>
      <c r="F8" s="47" t="s">
        <v>357</v>
      </c>
      <c r="G8" s="47" t="s">
        <v>397</v>
      </c>
      <c r="H8" s="47" t="s">
        <v>357</v>
      </c>
      <c r="I8" s="47" t="s">
        <v>398</v>
      </c>
      <c r="J8" s="47" t="s">
        <v>399</v>
      </c>
    </row>
    <row r="9" customFormat="false" ht="35.05" hidden="false" customHeight="false" outlineLevel="0" collapsed="false">
      <c r="A9" s="25" t="n">
        <v>3</v>
      </c>
      <c r="B9" s="9" t="s">
        <v>400</v>
      </c>
      <c r="C9" s="9" t="s">
        <v>401</v>
      </c>
      <c r="D9" s="9" t="s">
        <v>402</v>
      </c>
      <c r="E9" s="9" t="s">
        <v>403</v>
      </c>
      <c r="F9" s="9" t="s">
        <v>404</v>
      </c>
      <c r="G9" s="9" t="s">
        <v>405</v>
      </c>
      <c r="H9" s="9" t="s">
        <v>406</v>
      </c>
      <c r="I9" s="9" t="s">
        <v>407</v>
      </c>
      <c r="J9" s="9" t="s">
        <v>408</v>
      </c>
    </row>
    <row r="10" customFormat="false" ht="35.05" hidden="false" customHeight="false" outlineLevel="0" collapsed="false">
      <c r="A10" s="47" t="s">
        <v>409</v>
      </c>
      <c r="B10" s="47" t="s">
        <v>410</v>
      </c>
      <c r="C10" s="47" t="s">
        <v>411</v>
      </c>
      <c r="D10" s="47" t="s">
        <v>412</v>
      </c>
      <c r="E10" s="47" t="s">
        <v>413</v>
      </c>
      <c r="F10" s="47" t="s">
        <v>414</v>
      </c>
      <c r="G10" s="47" t="s">
        <v>415</v>
      </c>
      <c r="H10" s="47" t="s">
        <v>416</v>
      </c>
      <c r="I10" s="47" t="s">
        <v>417</v>
      </c>
      <c r="J10" s="47" t="s">
        <v>418</v>
      </c>
    </row>
    <row r="11" customFormat="false" ht="35.05" hidden="false" customHeight="false" outlineLevel="0" collapsed="false">
      <c r="A11" s="25" t="n">
        <v>4</v>
      </c>
      <c r="B11" s="9" t="s">
        <v>419</v>
      </c>
      <c r="C11" s="9" t="s">
        <v>420</v>
      </c>
      <c r="D11" s="9" t="s">
        <v>421</v>
      </c>
      <c r="E11" s="9" t="s">
        <v>422</v>
      </c>
      <c r="F11" s="9" t="s">
        <v>423</v>
      </c>
      <c r="G11" s="9" t="s">
        <v>424</v>
      </c>
      <c r="H11" s="9" t="s">
        <v>425</v>
      </c>
      <c r="I11" s="9" t="s">
        <v>426</v>
      </c>
      <c r="J11" s="9" t="s">
        <v>427</v>
      </c>
    </row>
    <row r="12" customFormat="false" ht="23.85" hidden="false" customHeight="false" outlineLevel="0" collapsed="false">
      <c r="A12" s="34" t="n">
        <v>5</v>
      </c>
      <c r="B12" s="47" t="s">
        <v>428</v>
      </c>
      <c r="C12" s="47" t="s">
        <v>429</v>
      </c>
      <c r="D12" s="47" t="s">
        <v>430</v>
      </c>
      <c r="E12" s="47" t="s">
        <v>431</v>
      </c>
      <c r="F12" s="47" t="s">
        <v>432</v>
      </c>
      <c r="G12" s="47" t="s">
        <v>433</v>
      </c>
      <c r="H12" s="47" t="s">
        <v>434</v>
      </c>
      <c r="I12" s="47" t="s">
        <v>435</v>
      </c>
      <c r="J12" s="47" t="s">
        <v>436</v>
      </c>
    </row>
    <row r="13" customFormat="false" ht="23.85" hidden="false" customHeight="false" outlineLevel="0" collapsed="false">
      <c r="A13" s="25" t="n">
        <v>6</v>
      </c>
      <c r="B13" s="9" t="s">
        <v>437</v>
      </c>
      <c r="C13" s="9" t="s">
        <v>438</v>
      </c>
      <c r="D13" s="9" t="s">
        <v>439</v>
      </c>
      <c r="E13" s="9" t="s">
        <v>440</v>
      </c>
      <c r="F13" s="9" t="s">
        <v>441</v>
      </c>
      <c r="G13" s="9" t="s">
        <v>442</v>
      </c>
      <c r="H13" s="9" t="s">
        <v>443</v>
      </c>
      <c r="I13" s="9" t="s">
        <v>444</v>
      </c>
      <c r="J13" s="9" t="s">
        <v>445</v>
      </c>
    </row>
    <row r="14" customFormat="false" ht="15" hidden="false" customHeight="false" outlineLevel="0" collapsed="false">
      <c r="A14" s="34" t="n">
        <v>7</v>
      </c>
      <c r="B14" s="47" t="s">
        <v>446</v>
      </c>
      <c r="C14" s="47" t="s">
        <v>420</v>
      </c>
      <c r="D14" s="47" t="s">
        <v>447</v>
      </c>
      <c r="E14" s="47" t="s">
        <v>448</v>
      </c>
      <c r="F14" s="47" t="s">
        <v>449</v>
      </c>
      <c r="G14" s="47" t="s">
        <v>450</v>
      </c>
      <c r="H14" s="47" t="s">
        <v>357</v>
      </c>
      <c r="I14" s="47" t="s">
        <v>451</v>
      </c>
      <c r="J14" s="47" t="s">
        <v>452</v>
      </c>
    </row>
    <row r="15" customFormat="false" ht="35.05" hidden="false" customHeight="false" outlineLevel="0" collapsed="false">
      <c r="A15" s="25" t="n">
        <v>8</v>
      </c>
      <c r="B15" s="9" t="s">
        <v>453</v>
      </c>
      <c r="C15" s="9" t="s">
        <v>454</v>
      </c>
      <c r="D15" s="9" t="s">
        <v>455</v>
      </c>
      <c r="E15" s="9" t="s">
        <v>456</v>
      </c>
      <c r="F15" s="9" t="s">
        <v>457</v>
      </c>
      <c r="G15" s="9" t="s">
        <v>458</v>
      </c>
      <c r="H15" s="9" t="s">
        <v>459</v>
      </c>
      <c r="I15" s="9" t="s">
        <v>460</v>
      </c>
      <c r="J15" s="9" t="s">
        <v>452</v>
      </c>
    </row>
    <row r="16" customFormat="false" ht="23.85" hidden="false" customHeight="false" outlineLevel="0" collapsed="false">
      <c r="A16" s="34" t="n">
        <v>9</v>
      </c>
      <c r="B16" s="47" t="s">
        <v>461</v>
      </c>
      <c r="C16" s="47" t="s">
        <v>462</v>
      </c>
      <c r="D16" s="47" t="s">
        <v>463</v>
      </c>
      <c r="E16" s="47" t="s">
        <v>464</v>
      </c>
      <c r="F16" s="47" t="s">
        <v>465</v>
      </c>
      <c r="G16" s="47" t="s">
        <v>466</v>
      </c>
      <c r="H16" s="47" t="s">
        <v>357</v>
      </c>
      <c r="I16" s="47" t="s">
        <v>467</v>
      </c>
      <c r="J16" s="47" t="s">
        <v>468</v>
      </c>
    </row>
    <row r="17" customFormat="false" ht="23.85" hidden="false" customHeight="false" outlineLevel="0" collapsed="false">
      <c r="A17" s="25" t="n">
        <v>10</v>
      </c>
      <c r="B17" s="9" t="s">
        <v>469</v>
      </c>
      <c r="C17" s="9" t="s">
        <v>470</v>
      </c>
      <c r="D17" s="9" t="s">
        <v>439</v>
      </c>
      <c r="E17" s="9" t="s">
        <v>471</v>
      </c>
      <c r="F17" s="9" t="s">
        <v>472</v>
      </c>
      <c r="G17" s="9" t="s">
        <v>473</v>
      </c>
      <c r="H17" s="9" t="s">
        <v>357</v>
      </c>
      <c r="I17" s="9" t="s">
        <v>474</v>
      </c>
      <c r="J17" s="9" t="s">
        <v>468</v>
      </c>
    </row>
    <row r="18" customFormat="false" ht="23.85" hidden="false" customHeight="false" outlineLevel="0" collapsed="false">
      <c r="A18" s="34" t="n">
        <v>11</v>
      </c>
      <c r="B18" s="47" t="s">
        <v>475</v>
      </c>
      <c r="C18" s="47" t="s">
        <v>476</v>
      </c>
      <c r="D18" s="47" t="s">
        <v>455</v>
      </c>
      <c r="E18" s="47" t="s">
        <v>477</v>
      </c>
      <c r="F18" s="47" t="s">
        <v>478</v>
      </c>
      <c r="G18" s="47" t="s">
        <v>479</v>
      </c>
      <c r="H18" s="47" t="s">
        <v>357</v>
      </c>
      <c r="I18" s="47" t="s">
        <v>480</v>
      </c>
      <c r="J18" s="47" t="s">
        <v>468</v>
      </c>
    </row>
    <row r="19" customFormat="false" ht="23.85" hidden="false" customHeight="false" outlineLevel="0" collapsed="false">
      <c r="A19" s="25" t="n">
        <v>12</v>
      </c>
      <c r="B19" s="9" t="s">
        <v>481</v>
      </c>
      <c r="C19" s="9" t="s">
        <v>482</v>
      </c>
      <c r="D19" s="9" t="s">
        <v>483</v>
      </c>
      <c r="E19" s="9" t="s">
        <v>484</v>
      </c>
      <c r="F19" s="9" t="s">
        <v>485</v>
      </c>
      <c r="G19" s="9" t="s">
        <v>486</v>
      </c>
      <c r="H19" s="9" t="s">
        <v>357</v>
      </c>
      <c r="I19" s="9" t="s">
        <v>487</v>
      </c>
      <c r="J19" s="9" t="s">
        <v>468</v>
      </c>
    </row>
    <row r="20" customFormat="false" ht="23.85" hidden="false" customHeight="false" outlineLevel="0" collapsed="false">
      <c r="A20" s="34" t="n">
        <v>13</v>
      </c>
      <c r="B20" s="47" t="s">
        <v>488</v>
      </c>
      <c r="C20" s="47" t="s">
        <v>489</v>
      </c>
      <c r="D20" s="47" t="s">
        <v>490</v>
      </c>
      <c r="E20" s="47" t="s">
        <v>491</v>
      </c>
      <c r="F20" s="47" t="s">
        <v>492</v>
      </c>
      <c r="G20" s="47" t="s">
        <v>493</v>
      </c>
      <c r="H20" s="47" t="s">
        <v>357</v>
      </c>
      <c r="I20" s="47" t="s">
        <v>494</v>
      </c>
      <c r="J20" s="47" t="s">
        <v>468</v>
      </c>
    </row>
    <row r="21" customFormat="false" ht="23.85" hidden="false" customHeight="false" outlineLevel="0" collapsed="false">
      <c r="A21" s="9" t="s">
        <v>357</v>
      </c>
      <c r="B21" s="9" t="s">
        <v>495</v>
      </c>
      <c r="C21" s="9" t="s">
        <v>496</v>
      </c>
      <c r="D21" s="9" t="s">
        <v>357</v>
      </c>
      <c r="E21" s="9" t="s">
        <v>357</v>
      </c>
      <c r="F21" s="9" t="s">
        <v>497</v>
      </c>
      <c r="G21" s="9" t="s">
        <v>498</v>
      </c>
      <c r="H21" s="9" t="s">
        <v>357</v>
      </c>
      <c r="I21" s="9" t="s">
        <v>499</v>
      </c>
      <c r="J21" s="9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31.5" hidden="false" customHeight="true" outlineLevel="0" collapsed="false">
      <c r="A4" s="3" t="s">
        <v>106</v>
      </c>
      <c r="B4" s="3" t="s">
        <v>502</v>
      </c>
      <c r="C4" s="3" t="s">
        <v>503</v>
      </c>
      <c r="D4" s="3" t="s">
        <v>504</v>
      </c>
      <c r="E4" s="3" t="s">
        <v>505</v>
      </c>
      <c r="F4" s="3" t="s">
        <v>506</v>
      </c>
      <c r="G4" s="3" t="s">
        <v>507</v>
      </c>
    </row>
    <row r="5" customFormat="false" ht="23.85" hidden="false" customHeight="false" outlineLevel="0" collapsed="false">
      <c r="A5" s="9" t="s">
        <v>75</v>
      </c>
      <c r="B5" s="9" t="s">
        <v>508</v>
      </c>
      <c r="C5" s="9" t="s">
        <v>509</v>
      </c>
      <c r="D5" s="9" t="s">
        <v>510</v>
      </c>
      <c r="E5" s="9" t="s">
        <v>511</v>
      </c>
      <c r="F5" s="9" t="s">
        <v>512</v>
      </c>
      <c r="G5" s="9" t="s">
        <v>513</v>
      </c>
    </row>
    <row r="6" customFormat="false" ht="23.85" hidden="false" customHeight="false" outlineLevel="0" collapsed="false">
      <c r="A6" s="47" t="s">
        <v>75</v>
      </c>
      <c r="B6" s="47" t="s">
        <v>514</v>
      </c>
      <c r="C6" s="47" t="s">
        <v>515</v>
      </c>
      <c r="D6" s="47" t="s">
        <v>516</v>
      </c>
      <c r="E6" s="47" t="s">
        <v>517</v>
      </c>
      <c r="F6" s="47" t="s">
        <v>518</v>
      </c>
      <c r="G6" s="47" t="s">
        <v>519</v>
      </c>
    </row>
    <row r="7" customFormat="false" ht="15" hidden="false" customHeight="false" outlineLevel="0" collapsed="false">
      <c r="A7" s="9" t="s">
        <v>75</v>
      </c>
      <c r="B7" s="9" t="s">
        <v>520</v>
      </c>
      <c r="C7" s="9" t="s">
        <v>515</v>
      </c>
      <c r="D7" s="9" t="s">
        <v>521</v>
      </c>
      <c r="E7" s="9" t="s">
        <v>522</v>
      </c>
      <c r="F7" s="9" t="s">
        <v>523</v>
      </c>
      <c r="G7" s="9" t="s">
        <v>524</v>
      </c>
    </row>
    <row r="8" customFormat="false" ht="23.85" hidden="false" customHeight="false" outlineLevel="0" collapsed="false">
      <c r="A8" s="47" t="s">
        <v>75</v>
      </c>
      <c r="B8" s="47" t="s">
        <v>525</v>
      </c>
      <c r="C8" s="47" t="s">
        <v>526</v>
      </c>
      <c r="D8" s="47" t="s">
        <v>527</v>
      </c>
      <c r="E8" s="47" t="s">
        <v>528</v>
      </c>
      <c r="F8" s="47" t="s">
        <v>529</v>
      </c>
      <c r="G8" s="47" t="s">
        <v>530</v>
      </c>
    </row>
    <row r="9" customFormat="false" ht="23.85" hidden="false" customHeight="false" outlineLevel="0" collapsed="false">
      <c r="A9" s="9" t="s">
        <v>75</v>
      </c>
      <c r="B9" s="9" t="s">
        <v>531</v>
      </c>
      <c r="C9" s="9" t="s">
        <v>532</v>
      </c>
      <c r="D9" s="9" t="s">
        <v>533</v>
      </c>
      <c r="E9" s="9" t="s">
        <v>534</v>
      </c>
      <c r="F9" s="9" t="s">
        <v>518</v>
      </c>
      <c r="G9" s="9" t="s">
        <v>535</v>
      </c>
    </row>
    <row r="10" customFormat="false" ht="23.85" hidden="false" customHeight="false" outlineLevel="0" collapsed="false">
      <c r="A10" s="47" t="s">
        <v>77</v>
      </c>
      <c r="B10" s="47" t="s">
        <v>536</v>
      </c>
      <c r="C10" s="47" t="s">
        <v>537</v>
      </c>
      <c r="D10" s="47" t="s">
        <v>538</v>
      </c>
      <c r="E10" s="47" t="s">
        <v>539</v>
      </c>
      <c r="F10" s="47" t="s">
        <v>540</v>
      </c>
      <c r="G10" s="47" t="s">
        <v>541</v>
      </c>
    </row>
    <row r="11" customFormat="false" ht="35.05" hidden="false" customHeight="false" outlineLevel="0" collapsed="false">
      <c r="A11" s="9" t="s">
        <v>77</v>
      </c>
      <c r="B11" s="9" t="s">
        <v>542</v>
      </c>
      <c r="C11" s="9" t="s">
        <v>543</v>
      </c>
      <c r="D11" s="9" t="s">
        <v>357</v>
      </c>
      <c r="E11" s="9" t="s">
        <v>544</v>
      </c>
      <c r="F11" s="9" t="s">
        <v>545</v>
      </c>
      <c r="G11" s="9" t="s">
        <v>546</v>
      </c>
    </row>
    <row r="12" customFormat="false" ht="23.85" hidden="false" customHeight="false" outlineLevel="0" collapsed="false">
      <c r="A12" s="47" t="s">
        <v>547</v>
      </c>
      <c r="B12" s="47" t="s">
        <v>548</v>
      </c>
      <c r="C12" s="47" t="s">
        <v>549</v>
      </c>
      <c r="D12" s="47" t="s">
        <v>550</v>
      </c>
      <c r="E12" s="47" t="s">
        <v>357</v>
      </c>
      <c r="F12" s="47" t="s">
        <v>551</v>
      </c>
      <c r="G12" s="47" t="s">
        <v>552</v>
      </c>
    </row>
    <row r="13" customFormat="false" ht="35.05" hidden="false" customHeight="false" outlineLevel="0" collapsed="false">
      <c r="A13" s="9" t="s">
        <v>77</v>
      </c>
      <c r="B13" s="9" t="s">
        <v>553</v>
      </c>
      <c r="C13" s="9" t="s">
        <v>554</v>
      </c>
      <c r="D13" s="9" t="s">
        <v>555</v>
      </c>
      <c r="E13" s="9" t="s">
        <v>357</v>
      </c>
      <c r="F13" s="9" t="s">
        <v>556</v>
      </c>
      <c r="G13" s="9" t="s">
        <v>557</v>
      </c>
    </row>
    <row r="14" customFormat="false" ht="15" hidden="false" customHeight="false" outlineLevel="0" collapsed="false">
      <c r="A14" s="47" t="s">
        <v>77</v>
      </c>
      <c r="B14" s="47" t="s">
        <v>558</v>
      </c>
      <c r="C14" s="47" t="s">
        <v>515</v>
      </c>
      <c r="D14" s="47" t="s">
        <v>559</v>
      </c>
      <c r="E14" s="47" t="s">
        <v>357</v>
      </c>
      <c r="F14" s="47" t="s">
        <v>560</v>
      </c>
      <c r="G14" s="47" t="s">
        <v>561</v>
      </c>
    </row>
    <row r="15" customFormat="false" ht="35.05" hidden="false" customHeight="false" outlineLevel="0" collapsed="false">
      <c r="A15" s="9" t="s">
        <v>562</v>
      </c>
      <c r="B15" s="9" t="s">
        <v>563</v>
      </c>
      <c r="C15" s="9" t="s">
        <v>357</v>
      </c>
      <c r="D15" s="9" t="s">
        <v>564</v>
      </c>
      <c r="E15" s="9" t="s">
        <v>357</v>
      </c>
      <c r="F15" s="9" t="s">
        <v>357</v>
      </c>
      <c r="G15" s="9" t="s">
        <v>565</v>
      </c>
    </row>
    <row r="16" customFormat="false" ht="35.05" hidden="false" customHeight="false" outlineLevel="0" collapsed="false">
      <c r="A16" s="47" t="s">
        <v>18</v>
      </c>
      <c r="B16" s="47" t="s">
        <v>566</v>
      </c>
      <c r="C16" s="47" t="s">
        <v>567</v>
      </c>
      <c r="D16" s="47" t="s">
        <v>568</v>
      </c>
      <c r="E16" s="47" t="s">
        <v>569</v>
      </c>
      <c r="F16" s="47" t="s">
        <v>518</v>
      </c>
      <c r="G16" s="47" t="s">
        <v>570</v>
      </c>
    </row>
    <row r="17" customFormat="false" ht="23.85" hidden="false" customHeight="false" outlineLevel="0" collapsed="false">
      <c r="A17" s="9" t="s">
        <v>18</v>
      </c>
      <c r="B17" s="9" t="s">
        <v>571</v>
      </c>
      <c r="C17" s="9" t="s">
        <v>567</v>
      </c>
      <c r="D17" s="9" t="s">
        <v>572</v>
      </c>
      <c r="E17" s="9" t="s">
        <v>573</v>
      </c>
      <c r="F17" s="9" t="s">
        <v>518</v>
      </c>
      <c r="G17" s="9" t="s">
        <v>574</v>
      </c>
    </row>
    <row r="18" customFormat="false" ht="35.05" hidden="false" customHeight="false" outlineLevel="0" collapsed="false">
      <c r="A18" s="47" t="s">
        <v>18</v>
      </c>
      <c r="B18" s="47" t="s">
        <v>575</v>
      </c>
      <c r="C18" s="47" t="s">
        <v>567</v>
      </c>
      <c r="D18" s="47" t="s">
        <v>576</v>
      </c>
      <c r="E18" s="47" t="s">
        <v>577</v>
      </c>
      <c r="F18" s="47" t="s">
        <v>518</v>
      </c>
      <c r="G18" s="47" t="s">
        <v>578</v>
      </c>
    </row>
    <row r="19" customFormat="false" ht="23.85" hidden="false" customHeight="false" outlineLevel="0" collapsed="false">
      <c r="A19" s="9" t="s">
        <v>18</v>
      </c>
      <c r="B19" s="9" t="s">
        <v>579</v>
      </c>
      <c r="C19" s="9" t="s">
        <v>567</v>
      </c>
      <c r="D19" s="9" t="s">
        <v>580</v>
      </c>
      <c r="E19" s="9" t="s">
        <v>581</v>
      </c>
      <c r="F19" s="9" t="s">
        <v>582</v>
      </c>
      <c r="G19" s="9" t="s">
        <v>583</v>
      </c>
    </row>
    <row r="20" customFormat="false" ht="23.85" hidden="false" customHeight="false" outlineLevel="0" collapsed="false">
      <c r="A20" s="47" t="s">
        <v>18</v>
      </c>
      <c r="B20" s="47" t="s">
        <v>584</v>
      </c>
      <c r="C20" s="47" t="s">
        <v>585</v>
      </c>
      <c r="D20" s="47" t="s">
        <v>357</v>
      </c>
      <c r="E20" s="47" t="s">
        <v>357</v>
      </c>
      <c r="F20" s="47" t="s">
        <v>586</v>
      </c>
      <c r="G20" s="47" t="s">
        <v>587</v>
      </c>
    </row>
    <row r="21" customFormat="false" ht="23.85" hidden="false" customHeight="false" outlineLevel="0" collapsed="false">
      <c r="A21" s="9" t="s">
        <v>18</v>
      </c>
      <c r="B21" s="9" t="s">
        <v>588</v>
      </c>
      <c r="C21" s="9" t="s">
        <v>589</v>
      </c>
      <c r="D21" s="9" t="s">
        <v>590</v>
      </c>
      <c r="E21" s="9" t="s">
        <v>357</v>
      </c>
      <c r="F21" s="9" t="s">
        <v>591</v>
      </c>
      <c r="G21" s="9" t="s">
        <v>592</v>
      </c>
    </row>
    <row r="22" customFormat="false" ht="23.85" hidden="false" customHeight="false" outlineLevel="0" collapsed="false">
      <c r="A22" s="47" t="s">
        <v>18</v>
      </c>
      <c r="B22" s="47" t="s">
        <v>593</v>
      </c>
      <c r="C22" s="47" t="s">
        <v>594</v>
      </c>
      <c r="D22" s="47" t="s">
        <v>595</v>
      </c>
      <c r="E22" s="47" t="s">
        <v>357</v>
      </c>
      <c r="F22" s="47" t="s">
        <v>551</v>
      </c>
      <c r="G22" s="47" t="s">
        <v>596</v>
      </c>
    </row>
    <row r="23" customFormat="false" ht="35.05" hidden="false" customHeight="false" outlineLevel="0" collapsed="false">
      <c r="A23" s="9" t="s">
        <v>18</v>
      </c>
      <c r="B23" s="9" t="s">
        <v>597</v>
      </c>
      <c r="C23" s="9" t="s">
        <v>598</v>
      </c>
      <c r="D23" s="9" t="s">
        <v>599</v>
      </c>
      <c r="E23" s="9" t="s">
        <v>600</v>
      </c>
      <c r="F23" s="9" t="s">
        <v>601</v>
      </c>
      <c r="G23" s="9" t="s">
        <v>602</v>
      </c>
    </row>
    <row r="24" customFormat="false" ht="23.85" hidden="false" customHeight="false" outlineLevel="0" collapsed="false">
      <c r="A24" s="47" t="s">
        <v>18</v>
      </c>
      <c r="B24" s="47" t="s">
        <v>603</v>
      </c>
      <c r="C24" s="47" t="s">
        <v>604</v>
      </c>
      <c r="D24" s="47" t="s">
        <v>605</v>
      </c>
      <c r="E24" s="47" t="s">
        <v>606</v>
      </c>
      <c r="F24" s="47" t="s">
        <v>607</v>
      </c>
      <c r="G24" s="47" t="s">
        <v>608</v>
      </c>
    </row>
    <row r="25" customFormat="false" ht="23.85" hidden="false" customHeight="false" outlineLevel="0" collapsed="false">
      <c r="A25" s="9" t="s">
        <v>18</v>
      </c>
      <c r="B25" s="9" t="s">
        <v>609</v>
      </c>
      <c r="C25" s="9" t="s">
        <v>610</v>
      </c>
      <c r="D25" s="9" t="s">
        <v>357</v>
      </c>
      <c r="E25" s="9" t="s">
        <v>357</v>
      </c>
      <c r="F25" s="9" t="s">
        <v>551</v>
      </c>
      <c r="G25" s="9" t="s">
        <v>611</v>
      </c>
    </row>
    <row r="26" customFormat="false" ht="35.05" hidden="false" customHeight="false" outlineLevel="0" collapsed="false">
      <c r="A26" s="47" t="s">
        <v>18</v>
      </c>
      <c r="B26" s="47" t="s">
        <v>612</v>
      </c>
      <c r="C26" s="47" t="s">
        <v>613</v>
      </c>
      <c r="D26" s="47" t="s">
        <v>357</v>
      </c>
      <c r="E26" s="47" t="s">
        <v>614</v>
      </c>
      <c r="F26" s="47" t="s">
        <v>615</v>
      </c>
      <c r="G26" s="47" t="s">
        <v>616</v>
      </c>
    </row>
    <row r="27" customFormat="false" ht="15" hidden="false" customHeight="false" outlineLevel="0" collapsed="false">
      <c r="A27" s="9" t="s">
        <v>80</v>
      </c>
      <c r="B27" s="9" t="s">
        <v>617</v>
      </c>
      <c r="C27" s="9" t="s">
        <v>567</v>
      </c>
      <c r="D27" s="9" t="s">
        <v>618</v>
      </c>
      <c r="E27" s="9" t="s">
        <v>619</v>
      </c>
      <c r="F27" s="9" t="s">
        <v>518</v>
      </c>
      <c r="G27" s="9" t="s">
        <v>620</v>
      </c>
    </row>
    <row r="28" customFormat="false" ht="23.85" hidden="false" customHeight="false" outlineLevel="0" collapsed="false">
      <c r="A28" s="47" t="s">
        <v>80</v>
      </c>
      <c r="B28" s="47" t="s">
        <v>621</v>
      </c>
      <c r="C28" s="47" t="s">
        <v>567</v>
      </c>
      <c r="D28" s="47" t="s">
        <v>622</v>
      </c>
      <c r="E28" s="47" t="s">
        <v>357</v>
      </c>
      <c r="F28" s="47" t="s">
        <v>518</v>
      </c>
      <c r="G28" s="47" t="s">
        <v>623</v>
      </c>
    </row>
    <row r="29" customFormat="false" ht="15" hidden="false" customHeight="false" outlineLevel="0" collapsed="false">
      <c r="A29" s="9" t="s">
        <v>80</v>
      </c>
      <c r="B29" s="9" t="s">
        <v>624</v>
      </c>
      <c r="C29" s="9" t="s">
        <v>515</v>
      </c>
      <c r="D29" s="9" t="s">
        <v>625</v>
      </c>
      <c r="E29" s="9" t="s">
        <v>357</v>
      </c>
      <c r="F29" s="9" t="s">
        <v>518</v>
      </c>
      <c r="G29" s="9" t="s">
        <v>626</v>
      </c>
    </row>
    <row r="30" customFormat="false" ht="15" hidden="false" customHeight="false" outlineLevel="0" collapsed="false">
      <c r="A30" s="47" t="s">
        <v>80</v>
      </c>
      <c r="B30" s="47" t="s">
        <v>627</v>
      </c>
      <c r="C30" s="47" t="s">
        <v>628</v>
      </c>
      <c r="D30" s="47" t="s">
        <v>357</v>
      </c>
      <c r="E30" s="47" t="s">
        <v>357</v>
      </c>
      <c r="F30" s="47" t="s">
        <v>551</v>
      </c>
      <c r="G30" s="47" t="s">
        <v>629</v>
      </c>
    </row>
    <row r="31" customFormat="false" ht="23.85" hidden="false" customHeight="false" outlineLevel="0" collapsed="false">
      <c r="A31" s="9" t="s">
        <v>82</v>
      </c>
      <c r="B31" s="9" t="s">
        <v>630</v>
      </c>
      <c r="C31" s="9" t="s">
        <v>631</v>
      </c>
      <c r="D31" s="9" t="s">
        <v>632</v>
      </c>
      <c r="E31" s="9" t="s">
        <v>633</v>
      </c>
      <c r="F31" s="9" t="s">
        <v>518</v>
      </c>
      <c r="G31" s="9" t="s">
        <v>634</v>
      </c>
    </row>
    <row r="32" customFormat="false" ht="15" hidden="false" customHeight="false" outlineLevel="0" collapsed="false">
      <c r="A32" s="47" t="s">
        <v>84</v>
      </c>
      <c r="B32" s="47" t="s">
        <v>635</v>
      </c>
      <c r="C32" s="47" t="s">
        <v>567</v>
      </c>
      <c r="D32" s="47" t="s">
        <v>636</v>
      </c>
      <c r="E32" s="47" t="s">
        <v>637</v>
      </c>
      <c r="F32" s="47" t="s">
        <v>518</v>
      </c>
      <c r="G32" s="47" t="s">
        <v>638</v>
      </c>
    </row>
    <row r="33" customFormat="false" ht="15" hidden="false" customHeight="false" outlineLevel="0" collapsed="false">
      <c r="A33" s="9" t="s">
        <v>84</v>
      </c>
      <c r="B33" s="9" t="s">
        <v>639</v>
      </c>
      <c r="C33" s="9" t="s">
        <v>640</v>
      </c>
      <c r="D33" s="9" t="s">
        <v>357</v>
      </c>
      <c r="E33" s="9" t="s">
        <v>357</v>
      </c>
      <c r="F33" s="9" t="s">
        <v>551</v>
      </c>
      <c r="G33" s="9" t="s">
        <v>641</v>
      </c>
    </row>
    <row r="34" customFormat="false" ht="35.05" hidden="false" customHeight="false" outlineLevel="0" collapsed="false">
      <c r="A34" s="47" t="s">
        <v>642</v>
      </c>
      <c r="B34" s="47" t="s">
        <v>643</v>
      </c>
      <c r="C34" s="47" t="s">
        <v>644</v>
      </c>
      <c r="D34" s="47" t="s">
        <v>357</v>
      </c>
      <c r="E34" s="47" t="s">
        <v>357</v>
      </c>
      <c r="F34" s="47" t="s">
        <v>468</v>
      </c>
      <c r="G34" s="47" t="s">
        <v>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2" t="s">
        <v>647</v>
      </c>
    </row>
    <row r="4" customFormat="false" ht="31.5" hidden="false" customHeight="true" outlineLevel="0" collapsed="false">
      <c r="A4" s="3" t="s">
        <v>648</v>
      </c>
      <c r="B4" s="3" t="s">
        <v>649</v>
      </c>
      <c r="C4" s="3" t="s">
        <v>650</v>
      </c>
    </row>
    <row r="5" customFormat="false" ht="23.85" hidden="false" customHeight="false" outlineLevel="0" collapsed="false">
      <c r="A5" s="25" t="n">
        <v>1</v>
      </c>
      <c r="B5" s="9" t="s">
        <v>651</v>
      </c>
      <c r="C5" s="9" t="s">
        <v>652</v>
      </c>
    </row>
    <row r="6" customFormat="false" ht="15" hidden="false" customHeight="false" outlineLevel="0" collapsed="false">
      <c r="A6" s="34" t="n">
        <v>2</v>
      </c>
      <c r="B6" s="47" t="s">
        <v>653</v>
      </c>
      <c r="C6" s="47" t="s">
        <v>654</v>
      </c>
    </row>
    <row r="7" customFormat="false" ht="15" hidden="false" customHeight="false" outlineLevel="0" collapsed="false">
      <c r="A7" s="25" t="n">
        <v>3</v>
      </c>
      <c r="B7" s="9" t="s">
        <v>655</v>
      </c>
      <c r="C7" s="9" t="s">
        <v>656</v>
      </c>
    </row>
    <row r="8" customFormat="false" ht="15" hidden="false" customHeight="false" outlineLevel="0" collapsed="false">
      <c r="A8" s="34" t="n">
        <v>4</v>
      </c>
      <c r="B8" s="47" t="s">
        <v>657</v>
      </c>
      <c r="C8" s="47" t="s">
        <v>658</v>
      </c>
    </row>
    <row r="9" customFormat="false" ht="15" hidden="false" customHeight="false" outlineLevel="0" collapsed="false">
      <c r="A9" s="25" t="n">
        <v>5</v>
      </c>
      <c r="B9" s="9" t="s">
        <v>659</v>
      </c>
      <c r="C9" s="9" t="s">
        <v>660</v>
      </c>
    </row>
    <row r="10" customFormat="false" ht="15" hidden="false" customHeight="false" outlineLevel="0" collapsed="false">
      <c r="A10" s="34" t="n">
        <v>6</v>
      </c>
      <c r="B10" s="47" t="s">
        <v>661</v>
      </c>
      <c r="C10" s="47" t="s">
        <v>662</v>
      </c>
    </row>
    <row r="11" customFormat="false" ht="15" hidden="false" customHeight="false" outlineLevel="0" collapsed="false">
      <c r="A11" s="25" t="n">
        <v>7</v>
      </c>
      <c r="B11" s="9" t="s">
        <v>663</v>
      </c>
      <c r="C11" s="9" t="s">
        <v>664</v>
      </c>
    </row>
    <row r="12" customFormat="false" ht="15" hidden="false" customHeight="false" outlineLevel="0" collapsed="false">
      <c r="A12" s="34" t="n">
        <v>8</v>
      </c>
      <c r="B12" s="47" t="s">
        <v>665</v>
      </c>
      <c r="C12" s="47" t="s">
        <v>666</v>
      </c>
    </row>
    <row r="13" customFormat="false" ht="15" hidden="false" customHeight="false" outlineLevel="0" collapsed="false">
      <c r="A13" s="25" t="n">
        <v>9</v>
      </c>
      <c r="B13" s="9" t="s">
        <v>667</v>
      </c>
      <c r="C13" s="9" t="s">
        <v>668</v>
      </c>
    </row>
    <row r="14" customFormat="false" ht="15" hidden="false" customHeight="false" outlineLevel="0" collapsed="false">
      <c r="A14" s="34" t="n">
        <v>10</v>
      </c>
      <c r="B14" s="47" t="s">
        <v>669</v>
      </c>
      <c r="C14" s="47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671</v>
      </c>
    </row>
    <row r="2" customFormat="false" ht="15" hidden="false" customHeight="false" outlineLevel="0" collapsed="false">
      <c r="A2" s="2" t="s">
        <v>672</v>
      </c>
    </row>
    <row r="4" customFormat="false" ht="31.5" hidden="false" customHeight="true" outlineLevel="0" collapsed="false">
      <c r="A4" s="3" t="s">
        <v>673</v>
      </c>
      <c r="B4" s="3" t="s">
        <v>674</v>
      </c>
      <c r="C4" s="3" t="s">
        <v>675</v>
      </c>
    </row>
    <row r="5" customFormat="false" ht="23.85" hidden="false" customHeight="false" outlineLevel="0" collapsed="false">
      <c r="A5" s="9" t="s">
        <v>676</v>
      </c>
      <c r="B5" s="9" t="s">
        <v>677</v>
      </c>
      <c r="C5" s="32" t="s">
        <v>210</v>
      </c>
    </row>
    <row r="6" customFormat="false" ht="15" hidden="false" customHeight="false" outlineLevel="0" collapsed="false">
      <c r="A6" s="47" t="s">
        <v>676</v>
      </c>
      <c r="B6" s="47" t="s">
        <v>678</v>
      </c>
      <c r="C6" s="32" t="s">
        <v>210</v>
      </c>
    </row>
    <row r="7" customFormat="false" ht="15" hidden="false" customHeight="false" outlineLevel="0" collapsed="false">
      <c r="A7" s="9" t="s">
        <v>679</v>
      </c>
      <c r="B7" s="9" t="s">
        <v>680</v>
      </c>
      <c r="C7" s="32" t="s">
        <v>210</v>
      </c>
    </row>
    <row r="8" customFormat="false" ht="15" hidden="false" customHeight="false" outlineLevel="0" collapsed="false">
      <c r="A8" s="47" t="s">
        <v>681</v>
      </c>
      <c r="B8" s="47" t="s">
        <v>682</v>
      </c>
      <c r="C8" s="32" t="s">
        <v>210</v>
      </c>
    </row>
    <row r="9" customFormat="false" ht="15" hidden="false" customHeight="false" outlineLevel="0" collapsed="false">
      <c r="A9" s="9" t="s">
        <v>681</v>
      </c>
      <c r="B9" s="9" t="s">
        <v>683</v>
      </c>
      <c r="C9" s="32" t="s">
        <v>210</v>
      </c>
    </row>
    <row r="10" customFormat="false" ht="15" hidden="false" customHeight="false" outlineLevel="0" collapsed="false">
      <c r="A10" s="47" t="s">
        <v>684</v>
      </c>
      <c r="B10" s="47" t="s">
        <v>685</v>
      </c>
      <c r="C10" s="32" t="s">
        <v>210</v>
      </c>
    </row>
    <row r="11" customFormat="false" ht="15" hidden="false" customHeight="false" outlineLevel="0" collapsed="false">
      <c r="A11" s="9" t="s">
        <v>684</v>
      </c>
      <c r="B11" s="9" t="s">
        <v>686</v>
      </c>
      <c r="C11" s="32" t="s">
        <v>210</v>
      </c>
    </row>
    <row r="12" customFormat="false" ht="15" hidden="false" customHeight="false" outlineLevel="0" collapsed="false">
      <c r="A12" s="47" t="s">
        <v>687</v>
      </c>
      <c r="B12" s="47" t="s">
        <v>688</v>
      </c>
      <c r="C12" s="32" t="s">
        <v>210</v>
      </c>
    </row>
    <row r="13" customFormat="false" ht="15" hidden="false" customHeight="false" outlineLevel="0" collapsed="false">
      <c r="A13" s="9" t="s">
        <v>689</v>
      </c>
      <c r="B13" s="9" t="s">
        <v>690</v>
      </c>
      <c r="C13" s="32" t="s">
        <v>210</v>
      </c>
    </row>
    <row r="14" customFormat="false" ht="15" hidden="false" customHeight="false" outlineLevel="0" collapsed="false">
      <c r="A14" s="47" t="s">
        <v>691</v>
      </c>
      <c r="B14" s="47" t="s">
        <v>692</v>
      </c>
      <c r="C14" s="32" t="s">
        <v>210</v>
      </c>
    </row>
    <row r="15" customFormat="false" ht="15" hidden="false" customHeight="false" outlineLevel="0" collapsed="false">
      <c r="A15" s="9" t="s">
        <v>693</v>
      </c>
      <c r="B15" s="9" t="s">
        <v>694</v>
      </c>
      <c r="C15" s="32" t="s">
        <v>210</v>
      </c>
    </row>
    <row r="16" customFormat="false" ht="15" hidden="false" customHeight="false" outlineLevel="0" collapsed="false">
      <c r="A16" s="47" t="s">
        <v>693</v>
      </c>
      <c r="B16" s="47" t="s">
        <v>695</v>
      </c>
      <c r="C16" s="32" t="s">
        <v>210</v>
      </c>
    </row>
    <row r="17" customFormat="false" ht="15" hidden="false" customHeight="false" outlineLevel="0" collapsed="false">
      <c r="A17" s="9" t="s">
        <v>696</v>
      </c>
      <c r="B17" s="9" t="s">
        <v>697</v>
      </c>
      <c r="C17" s="32" t="s">
        <v>210</v>
      </c>
    </row>
    <row r="18" customFormat="false" ht="15" hidden="false" customHeight="false" outlineLevel="0" collapsed="false">
      <c r="A18" s="47" t="s">
        <v>698</v>
      </c>
      <c r="B18" s="47" t="s">
        <v>699</v>
      </c>
      <c r="C18" s="32" t="s">
        <v>210</v>
      </c>
    </row>
    <row r="19" customFormat="false" ht="15" hidden="false" customHeight="false" outlineLevel="0" collapsed="false">
      <c r="A19" s="9" t="s">
        <v>617</v>
      </c>
      <c r="B19" s="9" t="s">
        <v>700</v>
      </c>
      <c r="C19" s="32" t="s">
        <v>210</v>
      </c>
    </row>
    <row r="20" customFormat="false" ht="15" hidden="false" customHeight="false" outlineLevel="0" collapsed="false">
      <c r="A20" s="47" t="s">
        <v>617</v>
      </c>
      <c r="B20" s="47" t="s">
        <v>701</v>
      </c>
      <c r="C20" s="32" t="s">
        <v>210</v>
      </c>
    </row>
    <row r="21" customFormat="false" ht="15" hidden="false" customHeight="false" outlineLevel="0" collapsed="false">
      <c r="A21" s="9" t="s">
        <v>702</v>
      </c>
      <c r="B21" s="9" t="s">
        <v>703</v>
      </c>
      <c r="C21" s="32" t="s">
        <v>210</v>
      </c>
    </row>
    <row r="22" customFormat="false" ht="15" hidden="false" customHeight="false" outlineLevel="0" collapsed="false">
      <c r="A22" s="47" t="s">
        <v>704</v>
      </c>
      <c r="B22" s="47" t="s">
        <v>705</v>
      </c>
      <c r="C22" s="32" t="s">
        <v>210</v>
      </c>
    </row>
    <row r="23" customFormat="false" ht="15" hidden="false" customHeight="false" outlineLevel="0" collapsed="false">
      <c r="A23" s="9" t="s">
        <v>706</v>
      </c>
      <c r="B23" s="9" t="s">
        <v>707</v>
      </c>
      <c r="C23" s="32" t="s">
        <v>210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2026-10-19T00:20:40Z</dcterms:created>
  <dc:creator>openpyxl</dc:creator>
  <dc:description/>
  <dc:language>en-US</dc:language>
  <cp:lastModifiedBy/>
  <dcterms:modified xsi:type="dcterms:W3CDTF">2026-10-19T00:20:40Z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