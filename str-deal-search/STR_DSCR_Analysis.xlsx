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Manatee-Sarasota" sheetId="2" state="visible" r:id="rId4"/>
    <sheet name="Pinellas" sheetId="3" state="visible" r:id="rId5"/>
    <sheet name="Down Pmt Scenarios" sheetId="4" state="visible" r:id="rId6"/>
    <sheet name="STR Rules" sheetId="5" state="visible" r:id="rId7"/>
    <sheet name="Diligence Checklist" sheetId="6" state="visible" r:id="rId8"/>
    <sheet name="Sour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sharedStrings.xml><?xml version="1.0" encoding="utf-8"?>
<sst xmlns="http://schemas.openxmlformats.org/spreadsheetml/2006/main" count="512" uniqueCount="334">
  <si>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</si>
  <si>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</si>
  <si>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</si>
  <si>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</si>
  <si>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</si>
  <si>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</si>
  <si>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</si>
  <si>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</si>
  <si>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</si>
  <si>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</si>
  <si>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</si>
  <si>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</si>
  <si>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</si>
  <si>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</si>
  <si>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</si>
  <si>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</si>
  <si>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</si>
  <si>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</si>
  <si>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</si>
  <si>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</si>
  <si>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</si>
  <si>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</si>
  <si>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</si>
  <si>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</si>
  <si>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</si>
  <si>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</si>
  <si>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</si>
  <si>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</si>
  <si>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</si>
  <si>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Base insurance ($/yr): HO + wind + $1M STR liability</t>
  </si>
  <si>
    <t xml:space="preserve">Mainland CBS home ~$500k. Get quotes; barrier islands higher.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</si>
  <si>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</si>
  <si>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</si>
  <si>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</si>
  <si>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</si>
  <si>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</si>
  <si>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</si>
  <si>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</si>
  <si>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</si>
  <si>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</si>
  <si>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</si>
  <si>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PROPERTY TAX BY COUNTY (% of price, non-homestead)</t>
  </si>
  <si>
    <t xml:space="preserve">Rate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</si>
  <si>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</si>
  <si>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</si>
  <si>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</si>
  <si>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</si>
  <si>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Pinellas</t>
  </si>
  <si>
    <t xml:space="preserve">Placeholder pending research: ~17-21 mills incl. city + non-ad valorem.</t>
  </si>
  <si>
    <t xml:space="preserve">Lee</t>
  </si>
  <si>
    <t xml:space="preserve">Placeholder: Cape Coral/Fort Myers ~16-19 mills + assessments.</t>
  </si>
  <si>
    <t xml:space="preserve">Charlotte</t>
  </si>
  <si>
    <t xml:space="preserve">Placeholder.</t>
  </si>
  <si>
    <t xml:space="preserve">Collier</t>
  </si>
  <si>
    <t xml:space="preserve">Placeholder: lowest millage on the coast (~11-12 mills).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</si>
  <si>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</si>
  <si>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</si>
  <si>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</si>
  <si>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</si>
  <si>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</si>
  <si>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</si>
  <si>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</si>
  <si>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</si>
  <si>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</si>
  <si>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</si>
  <si>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</si>
  <si>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</si>
  <si>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</si>
  <si>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</si>
  <si>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</si>
  <si>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</si>
  <si>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</si>
  <si>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</si>
  <si>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Zone) to rerun. Qualify on DSCR (lender haircut) &gt;= 1.00; &gt;= 1.15 preferred. Income is seller-stated until verified with platform payout reports.</t>
  </si>
  <si>
    <t xml:space="preserve">Rank</t>
  </si>
  <si>
    <t xml:space="preserve">Address</t>
  </si>
  <si>
    <t xml:space="preserve">City / ZIP</t>
  </si>
  <si>
    <t xml:space="preserve">County</t>
  </si>
  <si>
    <t xml:space="preserve">Type</t>
  </si>
  <si>
    <t xml:space="preserve">Bd/Ba/SqFt/Yr</t>
  </si>
  <si>
    <t xml:space="preserve">List Price</t>
  </si>
  <si>
    <t xml:space="preserve">Offer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</si>
  <si>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</si>
  <si>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</si>
  <si>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</si>
  <si>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</si>
  <si>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</si>
  <si>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</si>
  <si>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</si>
  <si>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Profile</t>
  </si>
  <si>
    <t xml:space="preserve">Loan Amount</t>
  </si>
  <si>
    <t xml:space="preserve">P&amp;I ($/mo)</t>
  </si>
  <si>
    <t xml:space="preserve">Taxes ($/mo)</t>
  </si>
  <si>
    <t xml:space="preserve">Ins + Flood ($/mo)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</si>
  <si>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</si>
  <si>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</si>
  <si>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</si>
  <si>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</si>
  <si>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Reserves (6 mo)</t>
  </si>
  <si>
    <t xml:space="preserve">Opex excl. Mgmt ($/yr)</t>
  </si>
  <si>
    <t xml:space="preserve">Mgmt ($/yr)</t>
  </si>
  <si>
    <t xml:space="preserve">Cash Flow Self-Managed ($/yr)</t>
  </si>
  <si>
    <t xml:space="preserve">Cash Flow Full PM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</si>
  <si>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</si>
  <si>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</si>
  <si>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</si>
  <si>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</si>
  <si>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</si>
  <si>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</si>
  <si>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</si>
  <si>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</si>
  <si>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</si>
  <si>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</si>
  <si>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</si>
  <si>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</si>
  <si>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</si>
  <si>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</si>
  <si>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</si>
  <si>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</si>
  <si>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</si>
  <si>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</si>
  <si>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</si>
  <si>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</si>
  <si>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</si>
  <si>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</si>
  <si>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</si>
  <si>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</si>
  <si>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</si>
  <si>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</si>
  <si>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</si>
  <si>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</si>
  <si>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</si>
  <si>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</si>
  <si>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</si>
  <si>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</si>
  <si>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</si>
  <si>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</si>
  <si>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</si>
  <si>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</si>
  <si>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</si>
  <si>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</si>
  <si>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</si>
  <si>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</si>
  <si>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</si>
  <si>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</si>
  <si>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</si>
  <si>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</si>
  <si>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</si>
  <si>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</si>
  <si>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</si>
  <si>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</si>
  <si>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</si>
  <si>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</si>
  <si>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</si>
  <si>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</si>
  <si>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</si>
  <si>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</si>
  <si>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</si>
  <si>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</si>
  <si>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</si>
  <si>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</si>
  <si>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</si>
  <si>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</si>
  <si>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</si>
  <si>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</si>
  <si>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</si>
  <si>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</si>
  <si>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</si>
  <si>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</si>
  <si>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</si>
  <si>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</si>
  <si>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</si>
  <si>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</si>
  <si>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</si>
  <si>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</si>
  <si>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</si>
  <si>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</si>
  <si>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</si>
  <si>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</si>
  <si>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</si>
  <si>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</si>
  <si>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</si>
  <si>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</si>
  <si>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</si>
  <si>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</si>
  <si>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</si>
  <si>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</si>
  <si>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</si>
  <si>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</si>
  <si>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</si>
  <si>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</si>
  <si>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</si>
  <si>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</si>
  <si>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</si>
  <si>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</si>
  <si>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</si>
  <si>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</si>
  <si>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</si>
  <si>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</si>
  <si>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</si>
  <si>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</si>
  <si>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</si>
  <si>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</si>
  <si>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</si>
  <si>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</si>
  <si>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</si>
  <si>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</si>
  <si>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Pending: Pinellas sweep results.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</si>
  <si>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</si>
  <si>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</si>
  <si>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</si>
  <si>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</si>
  <si>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</si>
  <si>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</si>
  <si>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</si>
  <si>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</si>
  <si>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</si>
  <si>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</si>
  <si>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</si>
  <si>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</si>
  <si>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</si>
  <si>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</si>
  <si>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</si>
  <si>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</si>
  <si>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</si>
  <si>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</si>
  <si>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</si>
  <si>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</si>
  <si>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</si>
  <si>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</si>
  <si>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</si>
  <si>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</si>
  <si>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</si>
  <si>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</si>
  <si>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</si>
  <si>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</si>
  <si>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</si>
  <si>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</si>
  <si>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</si>
  <si>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</si>
  <si>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</si>
  <si>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</si>
  <si>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</si>
  <si>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</si>
  <si>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</si>
  <si>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</si>
  <si>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</si>
  <si>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</si>
  <si>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</si>
  <si>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</si>
  <si>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</si>
  <si>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</si>
  <si>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</si>
  <si>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</si>
  <si>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</si>
  <si>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</si>
  <si>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</si>
  <si>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</si>
  <si>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</si>
  <si>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</si>
  <si>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</si>
  <si>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</si>
  <si>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</si>
  <si>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</si>
  <si>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</si>
  <si>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</si>
  <si>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</si>
  <si>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</si>
  <si>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</si>
  <si>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</si>
  <si>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</si>
  <si>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</si>
  <si>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</si>
  <si>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</si>
  <si>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</si>
  <si>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</si>
  <si>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</si>
  <si>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</si>
  <si>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</si>
  <si>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</si>
  <si>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</si>
  <si>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</si>
  <si>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</si>
  <si>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</si>
  <si>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</si>
  <si>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</si>
  <si>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</si>
  <si>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</si>
  <si>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</si>
  <si>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</si>
  <si>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</si>
  <si>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</si>
  <si>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</si>
  <si>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</si>
  <si>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</si>
  <si>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</si>
  <si>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</si>
  <si>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</si>
  <si>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</si>
  <si>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</si>
  <si>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</si>
  <si>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</si>
  <si>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</si>
  <si>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</si>
  <si>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</si>
  <si>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</si>
  <si>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</si>
  <si>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</si>
  <si>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</si>
  <si>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</si>
  <si>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</si>
  <si>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</si>
  <si>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</si>
  <si>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</si>
  <si>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</si>
  <si>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Listings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</si>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</sst>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$#,##0"/>
    <numFmt numFmtId="167" formatCode="0.000%"/>
    <numFmt numFmtId="168" formatCode="0.0%;\(0.0%\);\-"/>
    <numFmt numFmtId="169" formatCode="\$#,##0;&quot;($&quot;#,##0\);\-"/>
    <numFmt numFmtId="170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zillow.com/" TargetMode="External"/><Relationship Id="rId2" Type="http://schemas.openxmlformats.org/officeDocument/2006/relationships/hyperlink" Target="https://www.redfin.com/" TargetMode="External"/><Relationship Id="rId3" Type="http://schemas.openxmlformats.org/officeDocument/2006/relationships/hyperlink" Target="https://www.theoffersheet.com/p/85k-revenue-on-this-584k-bradenton-str" TargetMode="External"/><Relationship Id="rId4" Type="http://schemas.openxmlformats.org/officeDocument/2006/relationships/hyperlink" Target="https://rabbu.com/airbnb-data/bradenton-fl" TargetMode="External"/><Relationship Id="rId5" Type="http://schemas.openxmlformats.org/officeDocument/2006/relationships/hyperlink" Target="https://www.airroi.com/" TargetMode="External"/><Relationship Id="rId6" Type="http://schemas.openxmlformats.org/officeDocument/2006/relationships/hyperlink" Target="https://angeloakms.com/programs/investor-cash-flow-mortgage-program/" TargetMode="External"/><Relationship Id="rId7" Type="http://schemas.openxmlformats.org/officeDocument/2006/relationships/hyperlink" Target="https://deephavenmortgage.com/dscr-short-term-rental" TargetMode="External"/><Relationship Id="rId8" Type="http://schemas.openxmlformats.org/officeDocument/2006/relationships/hyperlink" Target="https://fred.stlouisfed.org/graph/?g=1XU7Y" TargetMode="External"/><Relationship Id="rId9" Type="http://schemas.openxmlformats.org/officeDocument/2006/relationships/hyperlink" Target="https://news4jax.com/news/local/2025/09/16/flood-insurance-will-be-mandatory-for-most-citizens-property-insurance-policyholders-by-2027" TargetMode="External"/><Relationship Id="rId10" Type="http://schemas.openxmlformats.org/officeDocument/2006/relationships/hyperlink" Target="https://www.myrasm.com/q3-2026" TargetMode="External"/><Relationship Id="rId11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I4" s="3" t="s">
        <v>4</v>
      </c>
    </row>
    <row r="5" customFormat="false" ht="15" hidden="false" customHeight="false" outlineLevel="0" collapsed="false">
      <c r="B5" s="4" t="s">
        <v>5</v>
      </c>
      <c r="C5" s="5" t="n">
        <v>800</v>
      </c>
      <c r="I5" s="6" t="s">
        <v>6</v>
      </c>
    </row>
    <row r="6" customFormat="false" ht="15" hidden="false" customHeight="false" outlineLevel="0" collapsed="false">
      <c r="B6" s="4" t="s">
        <v>7</v>
      </c>
      <c r="C6" s="7" t="n">
        <v>150000</v>
      </c>
      <c r="I6" s="6" t="s">
        <v>8</v>
      </c>
    </row>
    <row r="7" customFormat="false" ht="15" hidden="false" customHeight="false" outlineLevel="0" collapsed="false">
      <c r="B7" s="4" t="s">
        <v>9</v>
      </c>
      <c r="C7" s="7" t="n">
        <v>550000</v>
      </c>
      <c r="I7" s="6" t="s">
        <v>10</v>
      </c>
    </row>
    <row r="8" customFormat="false" ht="15" hidden="false" customHeight="false" outlineLevel="0" collapsed="false">
      <c r="B8" s="4" t="s">
        <v>11</v>
      </c>
      <c r="C8" s="7" t="n">
        <v>60000</v>
      </c>
      <c r="I8" s="6" t="s">
        <v>12</v>
      </c>
    </row>
    <row r="10" customFormat="false" ht="15" hidden="false" customHeight="false" outlineLevel="0" collapsed="false">
      <c r="B10" s="3" t="s">
        <v>13</v>
      </c>
      <c r="C10" s="3" t="s">
        <v>3</v>
      </c>
      <c r="I10" s="3" t="s">
        <v>4</v>
      </c>
    </row>
    <row r="11" customFormat="false" ht="15" hidden="false" customHeight="false" outlineLevel="0" collapsed="false">
      <c r="B11" s="4" t="s">
        <v>14</v>
      </c>
      <c r="C11" s="8" t="n">
        <v>0.075</v>
      </c>
      <c r="I11" s="6" t="s">
        <v>15</v>
      </c>
    </row>
    <row r="12" customFormat="false" ht="15" hidden="false" customHeight="false" outlineLevel="0" collapsed="false">
      <c r="B12" s="4" t="s">
        <v>16</v>
      </c>
      <c r="C12" s="8" t="n">
        <v>0.0725</v>
      </c>
      <c r="I12" s="6" t="s">
        <v>17</v>
      </c>
    </row>
    <row r="13" customFormat="false" ht="15" hidden="false" customHeight="false" outlineLevel="0" collapsed="false">
      <c r="B13" s="4" t="s">
        <v>18</v>
      </c>
      <c r="C13" s="8" t="n">
        <v>0.07125</v>
      </c>
      <c r="I13" s="6" t="s">
        <v>17</v>
      </c>
    </row>
    <row r="14" customFormat="false" ht="15" hidden="false" customHeight="false" outlineLevel="0" collapsed="false">
      <c r="B14" s="4" t="s">
        <v>19</v>
      </c>
      <c r="C14" s="5" t="n">
        <v>360</v>
      </c>
      <c r="I14" s="6" t="s">
        <v>20</v>
      </c>
    </row>
    <row r="15" customFormat="false" ht="15" hidden="false" customHeight="false" outlineLevel="0" collapsed="false">
      <c r="B15" s="4" t="s">
        <v>21</v>
      </c>
      <c r="C15" s="9" t="n">
        <v>0.25</v>
      </c>
      <c r="I15" s="6" t="s">
        <v>22</v>
      </c>
    </row>
    <row r="16" customFormat="false" ht="23.85" hidden="false" customHeight="false" outlineLevel="0" collapsed="false">
      <c r="B16" s="4" t="s">
        <v>23</v>
      </c>
      <c r="C16" s="10" t="n">
        <v>0.04</v>
      </c>
      <c r="I16" s="6" t="s">
        <v>24</v>
      </c>
    </row>
    <row r="17" customFormat="false" ht="15" hidden="false" customHeight="false" outlineLevel="0" collapsed="false">
      <c r="B17" s="4" t="s">
        <v>25</v>
      </c>
      <c r="C17" s="5" t="n">
        <v>6</v>
      </c>
      <c r="I17" s="6" t="s">
        <v>26</v>
      </c>
    </row>
    <row r="18" customFormat="false" ht="23.85" hidden="false" customHeight="false" outlineLevel="0" collapsed="false">
      <c r="B18" s="4" t="s">
        <v>27</v>
      </c>
      <c r="C18" s="10" t="n">
        <v>0.8</v>
      </c>
      <c r="I18" s="6" t="s">
        <v>28</v>
      </c>
    </row>
    <row r="19" customFormat="false" ht="15" hidden="false" customHeight="false" outlineLevel="0" collapsed="false">
      <c r="B19" s="4" t="s">
        <v>29</v>
      </c>
      <c r="C19" s="11" t="n">
        <v>7000</v>
      </c>
      <c r="I19" s="6" t="s">
        <v>30</v>
      </c>
    </row>
    <row r="21" customFormat="false" ht="15" hidden="false" customHeight="false" outlineLevel="0" collapsed="false">
      <c r="B21" s="3" t="s">
        <v>31</v>
      </c>
      <c r="C21" s="3" t="s">
        <v>32</v>
      </c>
      <c r="I21" s="3" t="s">
        <v>4</v>
      </c>
    </row>
    <row r="22" customFormat="false" ht="15" hidden="false" customHeight="false" outlineLevel="0" collapsed="false">
      <c r="B22" s="4" t="s">
        <v>33</v>
      </c>
      <c r="C22" s="11" t="n">
        <v>1000</v>
      </c>
      <c r="I22" s="6" t="s">
        <v>34</v>
      </c>
    </row>
    <row r="23" customFormat="false" ht="15" hidden="false" customHeight="false" outlineLevel="0" collapsed="false">
      <c r="B23" s="4" t="s">
        <v>35</v>
      </c>
      <c r="C23" s="11" t="n">
        <v>4500</v>
      </c>
      <c r="I23" s="6" t="s">
        <v>36</v>
      </c>
    </row>
    <row r="24" customFormat="false" ht="15" hidden="false" customHeight="false" outlineLevel="0" collapsed="false">
      <c r="B24" s="4" t="s">
        <v>37</v>
      </c>
      <c r="C24" s="11" t="n">
        <v>9000</v>
      </c>
      <c r="I24" s="6" t="s">
        <v>38</v>
      </c>
    </row>
    <row r="25" customFormat="false" ht="15" hidden="false" customHeight="false" outlineLevel="0" collapsed="false">
      <c r="B25" s="4" t="s">
        <v>39</v>
      </c>
      <c r="C25" s="11" t="n">
        <v>2000</v>
      </c>
      <c r="I25" s="6" t="s">
        <v>40</v>
      </c>
    </row>
    <row r="27" customFormat="false" ht="15" hidden="false" customHeight="false" outlineLevel="0" collapsed="false">
      <c r="B27" s="3" t="s">
        <v>41</v>
      </c>
      <c r="C27" s="3" t="s">
        <v>42</v>
      </c>
      <c r="I27" s="3" t="s">
        <v>4</v>
      </c>
    </row>
    <row r="28" customFormat="false" ht="15" hidden="false" customHeight="false" outlineLevel="0" collapsed="false">
      <c r="B28" s="4" t="s">
        <v>43</v>
      </c>
      <c r="C28" s="12" t="n">
        <v>0.015</v>
      </c>
      <c r="I28" s="6" t="s">
        <v>44</v>
      </c>
    </row>
    <row r="29" customFormat="false" ht="15" hidden="false" customHeight="false" outlineLevel="0" collapsed="false">
      <c r="B29" s="4" t="s">
        <v>45</v>
      </c>
      <c r="C29" s="12" t="n">
        <v>0.0135</v>
      </c>
      <c r="I29" s="6" t="s">
        <v>46</v>
      </c>
    </row>
    <row r="30" customFormat="false" ht="15" hidden="false" customHeight="false" outlineLevel="0" collapsed="false">
      <c r="B30" s="4" t="s">
        <v>47</v>
      </c>
      <c r="C30" s="12" t="n">
        <v>0.0175</v>
      </c>
      <c r="I30" s="6" t="s">
        <v>48</v>
      </c>
    </row>
    <row r="31" customFormat="false" ht="15" hidden="false" customHeight="false" outlineLevel="0" collapsed="false">
      <c r="B31" s="4" t="s">
        <v>49</v>
      </c>
      <c r="C31" s="12" t="n">
        <v>0.017</v>
      </c>
      <c r="I31" s="6" t="s">
        <v>50</v>
      </c>
    </row>
    <row r="32" customFormat="false" ht="15" hidden="false" customHeight="false" outlineLevel="0" collapsed="false">
      <c r="B32" s="4" t="s">
        <v>51</v>
      </c>
      <c r="C32" s="12" t="n">
        <v>0.0165</v>
      </c>
      <c r="I32" s="6" t="s">
        <v>52</v>
      </c>
    </row>
    <row r="33" customFormat="false" ht="15" hidden="false" customHeight="false" outlineLevel="0" collapsed="false">
      <c r="B33" s="4" t="s">
        <v>53</v>
      </c>
      <c r="C33" s="12" t="n">
        <v>0.012</v>
      </c>
      <c r="I33" s="6" t="s">
        <v>54</v>
      </c>
    </row>
    <row r="35" customFormat="false" ht="15" hidden="false" customHeight="false" outlineLevel="0" collapsed="false">
      <c r="B35" s="13" t="s">
        <v>55</v>
      </c>
      <c r="C35" s="13" t="s">
        <v>56</v>
      </c>
      <c r="D35" s="13" t="s">
        <v>57</v>
      </c>
      <c r="E35" s="13" t="s">
        <v>58</v>
      </c>
      <c r="F35" s="13" t="s">
        <v>59</v>
      </c>
      <c r="G35" s="13" t="s">
        <v>60</v>
      </c>
      <c r="H35" s="13" t="s">
        <v>61</v>
      </c>
      <c r="I35" s="3" t="s">
        <v>4</v>
      </c>
    </row>
    <row r="36" customFormat="false" ht="23.85" hidden="false" customHeight="false" outlineLevel="0" collapsed="false">
      <c r="B36" s="4" t="s">
        <v>62</v>
      </c>
      <c r="C36" s="10" t="n">
        <v>0.2</v>
      </c>
      <c r="D36" s="10" t="n">
        <v>0.1</v>
      </c>
      <c r="E36" s="10" t="n">
        <v>0.1</v>
      </c>
      <c r="F36" s="10" t="n">
        <v>0.08</v>
      </c>
      <c r="G36" s="10" t="n">
        <v>0.05</v>
      </c>
      <c r="H36" s="14" t="n">
        <f aca="false">SUM(D36:G36)</f>
        <v>0.33</v>
      </c>
      <c r="I36" s="6" t="s">
        <v>63</v>
      </c>
    </row>
    <row r="37" customFormat="false" ht="23.85" hidden="false" customHeight="false" outlineLevel="0" collapsed="false">
      <c r="B37" s="4" t="s">
        <v>64</v>
      </c>
      <c r="C37" s="10" t="n">
        <v>0.12</v>
      </c>
      <c r="D37" s="10" t="n">
        <v>0.02</v>
      </c>
      <c r="E37" s="10" t="n">
        <v>0.03</v>
      </c>
      <c r="F37" s="10" t="n">
        <v>0.06</v>
      </c>
      <c r="G37" s="10" t="n">
        <v>0.05</v>
      </c>
      <c r="H37" s="14" t="n">
        <f aca="false">SUM(D37:G37)</f>
        <v>0.16</v>
      </c>
      <c r="I37" s="6" t="s">
        <v>65</v>
      </c>
    </row>
    <row r="39" customFormat="false" ht="15" hidden="false" customHeight="false" outlineLevel="0" collapsed="false">
      <c r="B39" s="3" t="s">
        <v>66</v>
      </c>
      <c r="C39" s="3" t="s">
        <v>32</v>
      </c>
      <c r="I39" s="3" t="s">
        <v>4</v>
      </c>
    </row>
    <row r="40" customFormat="false" ht="15" hidden="false" customHeight="false" outlineLevel="0" collapsed="false">
      <c r="B40" s="4" t="s">
        <v>67</v>
      </c>
      <c r="C40" s="11" t="n">
        <v>6000</v>
      </c>
      <c r="I40" s="6" t="s">
        <v>68</v>
      </c>
    </row>
    <row r="41" customFormat="false" ht="15" hidden="false" customHeight="false" outlineLevel="0" collapsed="false">
      <c r="B41" s="4" t="s">
        <v>69</v>
      </c>
      <c r="C41" s="11" t="n">
        <v>3000</v>
      </c>
      <c r="I41" s="6"/>
    </row>
    <row r="42" customFormat="false" ht="15" hidden="false" customHeight="false" outlineLevel="0" collapsed="false">
      <c r="B42" s="4" t="s">
        <v>70</v>
      </c>
      <c r="C42" s="11" t="n">
        <v>1200</v>
      </c>
      <c r="I4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6" min="15" style="0" width="9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21" min="19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2"/>
    <col collapsed="false" customWidth="true" hidden="false" outlineLevel="0" max="32" min="31" style="0" width="8"/>
    <col collapsed="false" customWidth="true" hidden="false" outlineLevel="0" max="33" min="33" style="0" width="16"/>
    <col collapsed="false" customWidth="true" hidden="false" outlineLevel="0" max="34" min="34" style="0" width="6"/>
    <col collapsed="false" customWidth="true" hidden="false" outlineLevel="0" max="35" min="35" style="0" width="50"/>
    <col collapsed="false" customWidth="true" hidden="false" outlineLevel="0" max="36" min="36" style="0" width="14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3" customFormat="false" ht="15" hidden="false" customHeight="false" outlineLevel="0" collapsed="false">
      <c r="A3" s="2" t="s">
        <v>73</v>
      </c>
    </row>
    <row r="5" customFormat="false" ht="42" hidden="false" customHeight="true" outlineLevel="0" collapsed="false">
      <c r="A5" s="13" t="s">
        <v>74</v>
      </c>
      <c r="B5" s="13" t="s">
        <v>75</v>
      </c>
      <c r="C5" s="13" t="s">
        <v>76</v>
      </c>
      <c r="D5" s="13" t="s">
        <v>77</v>
      </c>
      <c r="E5" s="13" t="s">
        <v>78</v>
      </c>
      <c r="F5" s="13" t="s">
        <v>79</v>
      </c>
      <c r="G5" s="13" t="s">
        <v>80</v>
      </c>
      <c r="H5" s="13" t="s">
        <v>81</v>
      </c>
      <c r="I5" s="13" t="s">
        <v>82</v>
      </c>
      <c r="J5" s="13" t="s">
        <v>83</v>
      </c>
      <c r="K5" s="13" t="s">
        <v>84</v>
      </c>
      <c r="L5" s="13" t="s">
        <v>85</v>
      </c>
      <c r="M5" s="13" t="s">
        <v>86</v>
      </c>
      <c r="N5" s="13" t="s">
        <v>87</v>
      </c>
      <c r="O5" s="13" t="s">
        <v>88</v>
      </c>
      <c r="P5" s="13" t="s">
        <v>89</v>
      </c>
      <c r="Q5" s="15" t="s">
        <v>90</v>
      </c>
      <c r="R5" s="15" t="s">
        <v>42</v>
      </c>
      <c r="S5" s="15" t="s">
        <v>91</v>
      </c>
      <c r="T5" s="15" t="s">
        <v>92</v>
      </c>
      <c r="U5" s="15" t="s">
        <v>93</v>
      </c>
      <c r="V5" s="15" t="s">
        <v>94</v>
      </c>
      <c r="W5" s="15" t="s">
        <v>95</v>
      </c>
      <c r="X5" s="15" t="s">
        <v>96</v>
      </c>
      <c r="Y5" s="15" t="s">
        <v>97</v>
      </c>
      <c r="Z5" s="15" t="s">
        <v>98</v>
      </c>
      <c r="AA5" s="15" t="s">
        <v>99</v>
      </c>
      <c r="AB5" s="15" t="s">
        <v>100</v>
      </c>
      <c r="AC5" s="15" t="s">
        <v>101</v>
      </c>
      <c r="AD5" s="15" t="s">
        <v>102</v>
      </c>
      <c r="AE5" s="15" t="s">
        <v>103</v>
      </c>
      <c r="AF5" s="15" t="s">
        <v>104</v>
      </c>
      <c r="AG5" s="13" t="s">
        <v>105</v>
      </c>
      <c r="AH5" s="13" t="s">
        <v>106</v>
      </c>
      <c r="AI5" s="13" t="s">
        <v>107</v>
      </c>
      <c r="AJ5" s="13" t="s">
        <v>108</v>
      </c>
    </row>
    <row r="6" customFormat="false" ht="57.45" hidden="false" customHeight="false" outlineLevel="0" collapsed="false">
      <c r="A6" s="5" t="n">
        <v>1</v>
      </c>
      <c r="B6" s="16" t="s">
        <v>109</v>
      </c>
      <c r="C6" s="17" t="s">
        <v>110</v>
      </c>
      <c r="D6" s="18" t="s">
        <v>43</v>
      </c>
      <c r="E6" s="17" t="s">
        <v>111</v>
      </c>
      <c r="F6" s="17" t="s">
        <v>112</v>
      </c>
      <c r="G6" s="11" t="n">
        <v>584900</v>
      </c>
      <c r="H6" s="11" t="n">
        <v>560000</v>
      </c>
      <c r="I6" s="10" t="n">
        <v>0.03</v>
      </c>
      <c r="J6" s="19" t="n">
        <f aca="false">Assumptions!$C$15</f>
        <v>0.25</v>
      </c>
      <c r="K6" s="11" t="n">
        <v>85000</v>
      </c>
      <c r="L6" s="17" t="s">
        <v>113</v>
      </c>
      <c r="M6" s="18" t="s">
        <v>39</v>
      </c>
      <c r="N6" s="18" t="s">
        <v>114</v>
      </c>
      <c r="O6" s="11" t="n">
        <v>0</v>
      </c>
      <c r="P6" s="18" t="s">
        <v>62</v>
      </c>
      <c r="Q6" s="20" t="n">
        <f aca="false">H6*(1-J6)</f>
        <v>420000</v>
      </c>
      <c r="R6" s="21" t="n">
        <f aca="false">IF((1-J6)&gt;0.75,Assumptions!$C$11,IF((1-J6)&gt;0.7,Assumptions!$C$12,Assumptions!$C$13))</f>
        <v>0.0725</v>
      </c>
      <c r="S6" s="20" t="n">
        <f aca="false">PMT(R6/12,Assumptions!$C$14,-Q6)</f>
        <v>2865.14037623601</v>
      </c>
      <c r="T6" s="20" t="n">
        <f aca="false">H6*INDEX(Assumptions!$C$28:$C$33,MATCH(D6,Assumptions!$B$28:$B$33,0))/12</f>
        <v>700</v>
      </c>
      <c r="U6" s="20" t="n">
        <f aca="false">(Assumptions!$C$19+INDEX(Assumptions!$C$22:$C$25,MATCH(M6,Assumptions!$B$22:$B$25,0)))/12</f>
        <v>750</v>
      </c>
      <c r="V6" s="20" t="n">
        <f aca="false">S6+T6+U6+O6</f>
        <v>4315.14037623601</v>
      </c>
      <c r="W6" s="22" t="n">
        <f aca="false">IFERROR(K6/12/V6,0)</f>
        <v>1.64150704629265</v>
      </c>
      <c r="X6" s="23" t="n">
        <f aca="false">IFERROR(K6*Assumptions!$C$18/12/V6,0)</f>
        <v>1.31320563703412</v>
      </c>
      <c r="Y6" s="24" t="n">
        <f aca="false">H6*J6+H6*(Assumptions!$C$16-I6)</f>
        <v>145600</v>
      </c>
      <c r="Z6" s="20" t="n">
        <f aca="false">V6*Assumptions!$C$17</f>
        <v>25890.842257416</v>
      </c>
      <c r="AA6" s="20" t="n">
        <f aca="false">K6*INDEX(Assumptions!$H$36:$H$37,MATCH(P6,Assumptions!$B$36:$B$37,0))+Assumptions!$C$40+IF(N6="Y",Assumptions!$C$41,Assumptions!$C$42)</f>
        <v>37050</v>
      </c>
      <c r="AB6" s="20" t="n">
        <f aca="false">K6*INDEX(Assumptions!$C$36:$C$37,MATCH(P6,Assumptions!$B$36:$B$37,0))</f>
        <v>17000</v>
      </c>
      <c r="AC6" s="20" t="n">
        <f aca="false">K6-AA6-V6*12</f>
        <v>-3831.68451483207</v>
      </c>
      <c r="AD6" s="20" t="n">
        <f aca="false">AC6-AB6</f>
        <v>-20831.6845148321</v>
      </c>
      <c r="AE6" s="14" t="n">
        <f aca="false">IFERROR(K6/H6,0)</f>
        <v>0.151785714285714</v>
      </c>
      <c r="AF6" s="14" t="n">
        <f aca="false">IFERROR((K6-AA6-AB6)/H6,0)</f>
        <v>0.0552678571428571</v>
      </c>
      <c r="AG6" s="17" t="s">
        <v>115</v>
      </c>
      <c r="AH6" s="5" t="n">
        <v>21</v>
      </c>
      <c r="AI6" s="17" t="s">
        <v>116</v>
      </c>
      <c r="AJ6" s="25" t="s">
        <v>117</v>
      </c>
    </row>
    <row r="7" customFormat="false" ht="35.05" hidden="false" customHeight="false" outlineLevel="0" collapsed="false">
      <c r="A7" s="26" t="n">
        <v>2</v>
      </c>
      <c r="B7" s="16" t="s">
        <v>118</v>
      </c>
      <c r="C7" s="27" t="s">
        <v>119</v>
      </c>
      <c r="D7" s="28" t="s">
        <v>43</v>
      </c>
      <c r="E7" s="27" t="s">
        <v>120</v>
      </c>
      <c r="F7" s="27" t="s">
        <v>121</v>
      </c>
      <c r="G7" s="29" t="n">
        <v>475000</v>
      </c>
      <c r="H7" s="29" t="n">
        <v>460000</v>
      </c>
      <c r="I7" s="30" t="n">
        <v>0</v>
      </c>
      <c r="J7" s="31" t="n">
        <f aca="false">Assumptions!$C$15</f>
        <v>0.25</v>
      </c>
      <c r="K7" s="29" t="n">
        <v>73000</v>
      </c>
      <c r="L7" s="27" t="s">
        <v>122</v>
      </c>
      <c r="M7" s="28" t="s">
        <v>39</v>
      </c>
      <c r="N7" s="28" t="s">
        <v>123</v>
      </c>
      <c r="O7" s="29" t="n">
        <v>0</v>
      </c>
      <c r="P7" s="28" t="s">
        <v>62</v>
      </c>
      <c r="Q7" s="32" t="n">
        <f aca="false">H7*(1-J7)</f>
        <v>345000</v>
      </c>
      <c r="R7" s="33" t="n">
        <f aca="false">IF((1-J7)&gt;0.75,Assumptions!$C$11,IF((1-J7)&gt;0.7,Assumptions!$C$12,Assumptions!$C$13))</f>
        <v>0.0725</v>
      </c>
      <c r="S7" s="32" t="n">
        <f aca="false">PMT(R7/12,Assumptions!$C$14,-Q7)</f>
        <v>2353.50816619386</v>
      </c>
      <c r="T7" s="32" t="n">
        <f aca="false">H7*INDEX(Assumptions!$C$28:$C$33,MATCH(D7,Assumptions!$B$28:$B$33,0))/12</f>
        <v>575</v>
      </c>
      <c r="U7" s="32" t="n">
        <f aca="false">(Assumptions!$C$19+INDEX(Assumptions!$C$22:$C$25,MATCH(M7,Assumptions!$B$22:$B$25,0)))/12</f>
        <v>750</v>
      </c>
      <c r="V7" s="32" t="n">
        <f aca="false">S7+T7+U7+O7</f>
        <v>3678.50816619386</v>
      </c>
      <c r="W7" s="34" t="n">
        <f aca="false">IFERROR(K7/12/V7,0)</f>
        <v>1.65375012328102</v>
      </c>
      <c r="X7" s="23" t="n">
        <f aca="false">IFERROR(K7*Assumptions!$C$18/12/V7,0)</f>
        <v>1.32300009862482</v>
      </c>
      <c r="Y7" s="24" t="n">
        <f aca="false">H7*J7+H7*(Assumptions!$C$16-I7)</f>
        <v>133400</v>
      </c>
      <c r="Z7" s="32" t="n">
        <f aca="false">V7*Assumptions!$C$17</f>
        <v>22071.0489971632</v>
      </c>
      <c r="AA7" s="32" t="n">
        <f aca="false">K7*INDEX(Assumptions!$H$36:$H$37,MATCH(P7,Assumptions!$B$36:$B$37,0))+Assumptions!$C$40+IF(N7="Y",Assumptions!$C$41,Assumptions!$C$42)</f>
        <v>31290</v>
      </c>
      <c r="AB7" s="32" t="n">
        <f aca="false">K7*INDEX(Assumptions!$C$36:$C$37,MATCH(P7,Assumptions!$B$36:$B$37,0))</f>
        <v>14600</v>
      </c>
      <c r="AC7" s="32" t="n">
        <f aca="false">K7-AA7-V7*12</f>
        <v>-2432.09799432634</v>
      </c>
      <c r="AD7" s="32" t="n">
        <f aca="false">AC7-AB7</f>
        <v>-17032.0979943263</v>
      </c>
      <c r="AE7" s="35" t="n">
        <f aca="false">IFERROR(K7/H7,0)</f>
        <v>0.158695652173913</v>
      </c>
      <c r="AF7" s="35" t="n">
        <f aca="false">IFERROR((K7-AA7-AB7)/H7,0)</f>
        <v>0.0589347826086957</v>
      </c>
      <c r="AG7" s="27" t="s">
        <v>124</v>
      </c>
      <c r="AH7" s="26" t="n">
        <v>14</v>
      </c>
      <c r="AI7" s="27" t="s">
        <v>125</v>
      </c>
      <c r="AJ7" s="36" t="s">
        <v>117</v>
      </c>
    </row>
    <row r="8" customFormat="false" ht="46.25" hidden="false" customHeight="false" outlineLevel="0" collapsed="false">
      <c r="A8" s="5" t="n">
        <v>3</v>
      </c>
      <c r="B8" s="16" t="s">
        <v>126</v>
      </c>
      <c r="C8" s="17" t="s">
        <v>127</v>
      </c>
      <c r="D8" s="18" t="s">
        <v>43</v>
      </c>
      <c r="E8" s="17" t="s">
        <v>111</v>
      </c>
      <c r="F8" s="17" t="s">
        <v>128</v>
      </c>
      <c r="G8" s="11" t="n">
        <v>645000</v>
      </c>
      <c r="H8" s="11" t="n">
        <v>600000</v>
      </c>
      <c r="I8" s="10" t="n">
        <v>0.03</v>
      </c>
      <c r="J8" s="19" t="n">
        <f aca="false">Assumptions!$C$15</f>
        <v>0.25</v>
      </c>
      <c r="K8" s="11" t="n">
        <v>89000</v>
      </c>
      <c r="L8" s="17" t="s">
        <v>129</v>
      </c>
      <c r="M8" s="18" t="s">
        <v>39</v>
      </c>
      <c r="N8" s="18" t="s">
        <v>114</v>
      </c>
      <c r="O8" s="11" t="n">
        <v>0</v>
      </c>
      <c r="P8" s="18" t="s">
        <v>62</v>
      </c>
      <c r="Q8" s="20" t="n">
        <f aca="false">H8*(1-J8)</f>
        <v>450000</v>
      </c>
      <c r="R8" s="21" t="n">
        <f aca="false">IF((1-J8)&gt;0.75,Assumptions!$C$11,IF((1-J8)&gt;0.7,Assumptions!$C$12,Assumptions!$C$13))</f>
        <v>0.0725</v>
      </c>
      <c r="S8" s="20" t="n">
        <f aca="false">PMT(R8/12,Assumptions!$C$14,-Q8)</f>
        <v>3069.79326025286</v>
      </c>
      <c r="T8" s="20" t="n">
        <f aca="false">H8*INDEX(Assumptions!$C$28:$C$33,MATCH(D8,Assumptions!$B$28:$B$33,0))/12</f>
        <v>750</v>
      </c>
      <c r="U8" s="20" t="n">
        <f aca="false">(Assumptions!$C$19+INDEX(Assumptions!$C$22:$C$25,MATCH(M8,Assumptions!$B$22:$B$25,0)))/12</f>
        <v>750</v>
      </c>
      <c r="V8" s="20" t="n">
        <f aca="false">S8+T8+U8+O8</f>
        <v>4569.79326025286</v>
      </c>
      <c r="W8" s="22" t="n">
        <f aca="false">IFERROR(K8/12/V8,0)</f>
        <v>1.62297641146599</v>
      </c>
      <c r="X8" s="23" t="n">
        <f aca="false">IFERROR(K8*Assumptions!$C$18/12/V8,0)</f>
        <v>1.29838112917279</v>
      </c>
      <c r="Y8" s="24" t="n">
        <f aca="false">H8*J8+H8*(Assumptions!$C$16-I8)</f>
        <v>156000</v>
      </c>
      <c r="Z8" s="20" t="n">
        <f aca="false">V8*Assumptions!$C$17</f>
        <v>27418.7595615172</v>
      </c>
      <c r="AA8" s="20" t="n">
        <f aca="false">K8*INDEX(Assumptions!$H$36:$H$37,MATCH(P8,Assumptions!$B$36:$B$37,0))+Assumptions!$C$40+IF(N8="Y",Assumptions!$C$41,Assumptions!$C$42)</f>
        <v>38370</v>
      </c>
      <c r="AB8" s="20" t="n">
        <f aca="false">K8*INDEX(Assumptions!$C$36:$C$37,MATCH(P8,Assumptions!$B$36:$B$37,0))</f>
        <v>17800</v>
      </c>
      <c r="AC8" s="20" t="n">
        <f aca="false">K8-AA8-V8*12</f>
        <v>-4207.51912303436</v>
      </c>
      <c r="AD8" s="20" t="n">
        <f aca="false">AC8-AB8</f>
        <v>-22007.5191230344</v>
      </c>
      <c r="AE8" s="14" t="n">
        <f aca="false">IFERROR(K8/H8,0)</f>
        <v>0.148333333333333</v>
      </c>
      <c r="AF8" s="14" t="n">
        <f aca="false">IFERROR((K8-AA8-AB8)/H8,0)</f>
        <v>0.0547166666666667</v>
      </c>
      <c r="AG8" s="17" t="s">
        <v>130</v>
      </c>
      <c r="AH8" s="5" t="n">
        <v>23</v>
      </c>
      <c r="AI8" s="17" t="s">
        <v>131</v>
      </c>
      <c r="AJ8" s="25" t="s">
        <v>117</v>
      </c>
    </row>
    <row r="9" customFormat="false" ht="35.05" hidden="false" customHeight="false" outlineLevel="0" collapsed="false">
      <c r="A9" s="26" t="n">
        <v>4</v>
      </c>
      <c r="B9" s="27" t="s">
        <v>132</v>
      </c>
      <c r="C9" s="27" t="s">
        <v>133</v>
      </c>
      <c r="D9" s="28" t="s">
        <v>45</v>
      </c>
      <c r="E9" s="27" t="s">
        <v>120</v>
      </c>
      <c r="F9" s="27" t="s">
        <v>134</v>
      </c>
      <c r="G9" s="29" t="n">
        <v>475000</v>
      </c>
      <c r="H9" s="29" t="n">
        <v>455000</v>
      </c>
      <c r="I9" s="30" t="n">
        <v>0</v>
      </c>
      <c r="J9" s="31" t="n">
        <f aca="false">Assumptions!$C$15</f>
        <v>0.25</v>
      </c>
      <c r="K9" s="29" t="n">
        <v>60000</v>
      </c>
      <c r="L9" s="27" t="s">
        <v>135</v>
      </c>
      <c r="M9" s="28" t="s">
        <v>33</v>
      </c>
      <c r="N9" s="28" t="s">
        <v>123</v>
      </c>
      <c r="O9" s="29" t="n">
        <v>0</v>
      </c>
      <c r="P9" s="28" t="s">
        <v>62</v>
      </c>
      <c r="Q9" s="32" t="n">
        <f aca="false">H9*(1-J9)</f>
        <v>341250</v>
      </c>
      <c r="R9" s="33" t="n">
        <f aca="false">IF((1-J9)&gt;0.75,Assumptions!$C$11,IF((1-J9)&gt;0.7,Assumptions!$C$12,Assumptions!$C$13))</f>
        <v>0.0725</v>
      </c>
      <c r="S9" s="32" t="n">
        <f aca="false">PMT(R9/12,Assumptions!$C$14,-Q9)</f>
        <v>2327.92655569175</v>
      </c>
      <c r="T9" s="32" t="n">
        <f aca="false">H9*INDEX(Assumptions!$C$28:$C$33,MATCH(D9,Assumptions!$B$28:$B$33,0))/12</f>
        <v>511.875</v>
      </c>
      <c r="U9" s="32" t="n">
        <f aca="false">(Assumptions!$C$19+INDEX(Assumptions!$C$22:$C$25,MATCH(M9,Assumptions!$B$22:$B$25,0)))/12</f>
        <v>666.666666666667</v>
      </c>
      <c r="V9" s="32" t="n">
        <f aca="false">S9+T9+U9+O9</f>
        <v>3506.46822235842</v>
      </c>
      <c r="W9" s="34" t="n">
        <f aca="false">IFERROR(K9/12/V9,0)</f>
        <v>1.42593620786817</v>
      </c>
      <c r="X9" s="34" t="n">
        <f aca="false">IFERROR(K9*Assumptions!$C$18/12/V9,0)</f>
        <v>1.14074896629453</v>
      </c>
      <c r="Y9" s="32" t="n">
        <f aca="false">H9*J9+H9*(Assumptions!$C$16-I9)</f>
        <v>131950</v>
      </c>
      <c r="Z9" s="32" t="n">
        <f aca="false">V9*Assumptions!$C$17</f>
        <v>21038.8093341505</v>
      </c>
      <c r="AA9" s="32" t="n">
        <f aca="false">K9*INDEX(Assumptions!$H$36:$H$37,MATCH(P9,Assumptions!$B$36:$B$37,0))+Assumptions!$C$40+IF(N9="Y",Assumptions!$C$41,Assumptions!$C$42)</f>
        <v>27000</v>
      </c>
      <c r="AB9" s="32" t="n">
        <f aca="false">K9*INDEX(Assumptions!$C$36:$C$37,MATCH(P9,Assumptions!$B$36:$B$37,0))</f>
        <v>12000</v>
      </c>
      <c r="AC9" s="32" t="n">
        <f aca="false">K9-AA9-V9*12</f>
        <v>-9077.61866830105</v>
      </c>
      <c r="AD9" s="32" t="n">
        <f aca="false">AC9-AB9</f>
        <v>-21077.6186683011</v>
      </c>
      <c r="AE9" s="35" t="n">
        <f aca="false">IFERROR(K9/H9,0)</f>
        <v>0.131868131868132</v>
      </c>
      <c r="AF9" s="35" t="n">
        <f aca="false">IFERROR((K9-AA9-AB9)/H9,0)</f>
        <v>0.0461538461538462</v>
      </c>
      <c r="AG9" s="27" t="s">
        <v>136</v>
      </c>
      <c r="AH9" s="26" t="n">
        <v>78</v>
      </c>
      <c r="AI9" s="27" t="s">
        <v>137</v>
      </c>
      <c r="AJ9" s="36" t="s">
        <v>117</v>
      </c>
    </row>
    <row r="10" customFormat="false" ht="35.05" hidden="false" customHeight="false" outlineLevel="0" collapsed="false">
      <c r="A10" s="5" t="n">
        <v>5</v>
      </c>
      <c r="B10" s="17" t="s">
        <v>138</v>
      </c>
      <c r="C10" s="17" t="s">
        <v>127</v>
      </c>
      <c r="D10" s="18" t="s">
        <v>43</v>
      </c>
      <c r="E10" s="17" t="s">
        <v>111</v>
      </c>
      <c r="F10" s="17" t="s">
        <v>139</v>
      </c>
      <c r="G10" s="11" t="n">
        <v>474999</v>
      </c>
      <c r="H10" s="11" t="n">
        <v>474999</v>
      </c>
      <c r="I10" s="10" t="n">
        <v>0</v>
      </c>
      <c r="J10" s="19" t="n">
        <f aca="false">Assumptions!$C$15</f>
        <v>0.25</v>
      </c>
      <c r="K10" s="11" t="n">
        <v>54000</v>
      </c>
      <c r="L10" s="17" t="s">
        <v>140</v>
      </c>
      <c r="M10" s="18" t="s">
        <v>33</v>
      </c>
      <c r="N10" s="18" t="s">
        <v>114</v>
      </c>
      <c r="O10" s="11" t="n">
        <v>0</v>
      </c>
      <c r="P10" s="18" t="s">
        <v>62</v>
      </c>
      <c r="Q10" s="20" t="n">
        <f aca="false">H10*(1-J10)</f>
        <v>356249.25</v>
      </c>
      <c r="R10" s="21" t="n">
        <f aca="false">IF((1-J10)&gt;0.75,Assumptions!$C$11,IF((1-J10)&gt;0.7,Assumptions!$C$12,Assumptions!$C$13))</f>
        <v>0.0725</v>
      </c>
      <c r="S10" s="20" t="n">
        <f aca="false">PMT(R10/12,Assumptions!$C$14,-Q10)</f>
        <v>2430.24788137808</v>
      </c>
      <c r="T10" s="20" t="n">
        <f aca="false">H10*INDEX(Assumptions!$C$28:$C$33,MATCH(D10,Assumptions!$B$28:$B$33,0))/12</f>
        <v>593.74875</v>
      </c>
      <c r="U10" s="20" t="n">
        <f aca="false">(Assumptions!$C$19+INDEX(Assumptions!$C$22:$C$25,MATCH(M10,Assumptions!$B$22:$B$25,0)))/12</f>
        <v>666.666666666667</v>
      </c>
      <c r="V10" s="20" t="n">
        <f aca="false">S10+T10+U10+O10</f>
        <v>3690.66329804475</v>
      </c>
      <c r="W10" s="22" t="n">
        <f aca="false">IFERROR(K10/12/V10,0)</f>
        <v>1.2192930204129</v>
      </c>
      <c r="X10" s="22" t="n">
        <f aca="false">IFERROR(K10*Assumptions!$C$18/12/V10,0)</f>
        <v>0.975434416330316</v>
      </c>
      <c r="Y10" s="20" t="n">
        <f aca="false">H10*J10+H10*(Assumptions!$C$16-I10)</f>
        <v>137749.71</v>
      </c>
      <c r="Z10" s="20" t="n">
        <f aca="false">V10*Assumptions!$C$17</f>
        <v>22143.9797882685</v>
      </c>
      <c r="AA10" s="20" t="n">
        <f aca="false">K10*INDEX(Assumptions!$H$36:$H$37,MATCH(P10,Assumptions!$B$36:$B$37,0))+Assumptions!$C$40+IF(N10="Y",Assumptions!$C$41,Assumptions!$C$42)</f>
        <v>26820</v>
      </c>
      <c r="AB10" s="20" t="n">
        <f aca="false">K10*INDEX(Assumptions!$C$36:$C$37,MATCH(P10,Assumptions!$B$36:$B$37,0))</f>
        <v>10800</v>
      </c>
      <c r="AC10" s="20" t="n">
        <f aca="false">K10-AA10-V10*12</f>
        <v>-17107.959576537</v>
      </c>
      <c r="AD10" s="20" t="n">
        <f aca="false">AC10-AB10</f>
        <v>-27907.959576537</v>
      </c>
      <c r="AE10" s="14" t="n">
        <f aca="false">IFERROR(K10/H10,0)</f>
        <v>0.113684449862</v>
      </c>
      <c r="AF10" s="14" t="n">
        <f aca="false">IFERROR((K10-AA10-AB10)/H10,0)</f>
        <v>0.0344842831248066</v>
      </c>
      <c r="AG10" s="17" t="s">
        <v>141</v>
      </c>
      <c r="AH10" s="5" t="n">
        <v>18</v>
      </c>
      <c r="AI10" s="17" t="s">
        <v>142</v>
      </c>
      <c r="AJ10" s="25" t="s">
        <v>117</v>
      </c>
    </row>
    <row r="11" customFormat="false" ht="23.85" hidden="false" customHeight="false" outlineLevel="0" collapsed="false">
      <c r="A11" s="26" t="n">
        <v>6</v>
      </c>
      <c r="B11" s="27" t="s">
        <v>143</v>
      </c>
      <c r="C11" s="27" t="s">
        <v>127</v>
      </c>
      <c r="D11" s="28" t="s">
        <v>43</v>
      </c>
      <c r="E11" s="27" t="s">
        <v>111</v>
      </c>
      <c r="F11" s="27" t="s">
        <v>144</v>
      </c>
      <c r="G11" s="29" t="n">
        <v>529000</v>
      </c>
      <c r="H11" s="29" t="n">
        <v>515000</v>
      </c>
      <c r="I11" s="30" t="n">
        <v>0</v>
      </c>
      <c r="J11" s="31" t="n">
        <f aca="false">Assumptions!$C$15</f>
        <v>0.25</v>
      </c>
      <c r="K11" s="29" t="n">
        <v>60000</v>
      </c>
      <c r="L11" s="27" t="s">
        <v>145</v>
      </c>
      <c r="M11" s="28" t="s">
        <v>39</v>
      </c>
      <c r="N11" s="28" t="s">
        <v>114</v>
      </c>
      <c r="O11" s="29" t="n">
        <v>0</v>
      </c>
      <c r="P11" s="28" t="s">
        <v>62</v>
      </c>
      <c r="Q11" s="32" t="n">
        <f aca="false">H11*(1-J11)</f>
        <v>386250</v>
      </c>
      <c r="R11" s="33" t="n">
        <f aca="false">IF((1-J11)&gt;0.75,Assumptions!$C$11,IF((1-J11)&gt;0.7,Assumptions!$C$12,Assumptions!$C$13))</f>
        <v>0.0725</v>
      </c>
      <c r="S11" s="32" t="n">
        <f aca="false">PMT(R11/12,Assumptions!$C$14,-Q11)</f>
        <v>2634.90588171704</v>
      </c>
      <c r="T11" s="32" t="n">
        <f aca="false">H11*INDEX(Assumptions!$C$28:$C$33,MATCH(D11,Assumptions!$B$28:$B$33,0))/12</f>
        <v>643.75</v>
      </c>
      <c r="U11" s="32" t="n">
        <f aca="false">(Assumptions!$C$19+INDEX(Assumptions!$C$22:$C$25,MATCH(M11,Assumptions!$B$22:$B$25,0)))/12</f>
        <v>750</v>
      </c>
      <c r="V11" s="32" t="n">
        <f aca="false">S11+T11+U11+O11</f>
        <v>4028.65588171704</v>
      </c>
      <c r="W11" s="34" t="n">
        <f aca="false">IFERROR(K11/12/V11,0)</f>
        <v>1.24110873373205</v>
      </c>
      <c r="X11" s="34" t="n">
        <f aca="false">IFERROR(K11*Assumptions!$C$18/12/V11,0)</f>
        <v>0.992886986985638</v>
      </c>
      <c r="Y11" s="32" t="n">
        <f aca="false">H11*J11+H11*(Assumptions!$C$16-I11)</f>
        <v>149350</v>
      </c>
      <c r="Z11" s="32" t="n">
        <f aca="false">V11*Assumptions!$C$17</f>
        <v>24171.9352903022</v>
      </c>
      <c r="AA11" s="32" t="n">
        <f aca="false">K11*INDEX(Assumptions!$H$36:$H$37,MATCH(P11,Assumptions!$B$36:$B$37,0))+Assumptions!$C$40+IF(N11="Y",Assumptions!$C$41,Assumptions!$C$42)</f>
        <v>28800</v>
      </c>
      <c r="AB11" s="32" t="n">
        <f aca="false">K11*INDEX(Assumptions!$C$36:$C$37,MATCH(P11,Assumptions!$B$36:$B$37,0))</f>
        <v>12000</v>
      </c>
      <c r="AC11" s="32" t="n">
        <f aca="false">K11-AA11-V11*12</f>
        <v>-17143.8705806045</v>
      </c>
      <c r="AD11" s="32" t="n">
        <f aca="false">AC11-AB11</f>
        <v>-29143.8705806045</v>
      </c>
      <c r="AE11" s="35" t="n">
        <f aca="false">IFERROR(K11/H11,0)</f>
        <v>0.116504854368932</v>
      </c>
      <c r="AF11" s="35" t="n">
        <f aca="false">IFERROR((K11-AA11-AB11)/H11,0)</f>
        <v>0.0372815533980583</v>
      </c>
      <c r="AG11" s="27" t="s">
        <v>146</v>
      </c>
      <c r="AH11" s="26" t="n">
        <v>58</v>
      </c>
      <c r="AI11" s="27" t="s">
        <v>147</v>
      </c>
      <c r="AJ11" s="36" t="s">
        <v>117</v>
      </c>
    </row>
    <row r="12" customFormat="false" ht="23.85" hidden="false" customHeight="false" outlineLevel="0" collapsed="false">
      <c r="A12" s="5" t="n">
        <v>7</v>
      </c>
      <c r="B12" s="17" t="s">
        <v>148</v>
      </c>
      <c r="C12" s="17" t="s">
        <v>133</v>
      </c>
      <c r="D12" s="18" t="s">
        <v>45</v>
      </c>
      <c r="E12" s="17" t="s">
        <v>111</v>
      </c>
      <c r="F12" s="17" t="s">
        <v>149</v>
      </c>
      <c r="G12" s="11" t="n">
        <v>524900</v>
      </c>
      <c r="H12" s="11" t="n">
        <v>505000</v>
      </c>
      <c r="I12" s="10" t="n">
        <v>0</v>
      </c>
      <c r="J12" s="19" t="n">
        <f aca="false">Assumptions!$C$15</f>
        <v>0.25</v>
      </c>
      <c r="K12" s="11" t="n">
        <v>50157</v>
      </c>
      <c r="L12" s="17" t="s">
        <v>150</v>
      </c>
      <c r="M12" s="18" t="s">
        <v>33</v>
      </c>
      <c r="N12" s="18" t="s">
        <v>123</v>
      </c>
      <c r="O12" s="11" t="n">
        <v>0</v>
      </c>
      <c r="P12" s="18" t="s">
        <v>62</v>
      </c>
      <c r="Q12" s="20" t="n">
        <f aca="false">H12*(1-J12)</f>
        <v>378750</v>
      </c>
      <c r="R12" s="21" t="n">
        <f aca="false">IF((1-J12)&gt;0.75,Assumptions!$C$11,IF((1-J12)&gt;0.7,Assumptions!$C$12,Assumptions!$C$13))</f>
        <v>0.0725</v>
      </c>
      <c r="S12" s="20" t="n">
        <f aca="false">PMT(R12/12,Assumptions!$C$14,-Q12)</f>
        <v>2583.74266071283</v>
      </c>
      <c r="T12" s="20" t="n">
        <f aca="false">H12*INDEX(Assumptions!$C$28:$C$33,MATCH(D12,Assumptions!$B$28:$B$33,0))/12</f>
        <v>568.125</v>
      </c>
      <c r="U12" s="20" t="n">
        <f aca="false">(Assumptions!$C$19+INDEX(Assumptions!$C$22:$C$25,MATCH(M12,Assumptions!$B$22:$B$25,0)))/12</f>
        <v>666.666666666667</v>
      </c>
      <c r="V12" s="20" t="n">
        <f aca="false">S12+T12+U12+O12</f>
        <v>3818.53432737949</v>
      </c>
      <c r="W12" s="22" t="n">
        <f aca="false">IFERROR(K12/12/V12,0)</f>
        <v>1.09459537132625</v>
      </c>
      <c r="X12" s="22" t="n">
        <f aca="false">IFERROR(K12*Assumptions!$C$18/12/V12,0)</f>
        <v>0.875676297061003</v>
      </c>
      <c r="Y12" s="20" t="n">
        <f aca="false">H12*J12+H12*(Assumptions!$C$16-I12)</f>
        <v>146450</v>
      </c>
      <c r="Z12" s="20" t="n">
        <f aca="false">V12*Assumptions!$C$17</f>
        <v>22911.205964277</v>
      </c>
      <c r="AA12" s="20" t="n">
        <f aca="false">K12*INDEX(Assumptions!$H$36:$H$37,MATCH(P12,Assumptions!$B$36:$B$37,0))+Assumptions!$C$40+IF(N12="Y",Assumptions!$C$41,Assumptions!$C$42)</f>
        <v>23751.81</v>
      </c>
      <c r="AB12" s="20" t="n">
        <f aca="false">K12*INDEX(Assumptions!$C$36:$C$37,MATCH(P12,Assumptions!$B$36:$B$37,0))</f>
        <v>10031.4</v>
      </c>
      <c r="AC12" s="20" t="n">
        <f aca="false">K12-AA12-V12*12</f>
        <v>-19417.2219285539</v>
      </c>
      <c r="AD12" s="20" t="n">
        <f aca="false">AC12-AB12</f>
        <v>-29448.6219285539</v>
      </c>
      <c r="AE12" s="14" t="n">
        <f aca="false">IFERROR(K12/H12,0)</f>
        <v>0.0993207920792079</v>
      </c>
      <c r="AF12" s="14" t="n">
        <f aca="false">IFERROR((K12-AA12-AB12)/H12,0)</f>
        <v>0.0324233465346535</v>
      </c>
      <c r="AG12" s="17" t="s">
        <v>151</v>
      </c>
      <c r="AH12" s="5" t="n">
        <v>16</v>
      </c>
      <c r="AI12" s="17" t="s">
        <v>152</v>
      </c>
      <c r="AJ12" s="25" t="s">
        <v>117</v>
      </c>
    </row>
    <row r="13" customFormat="false" ht="23.85" hidden="false" customHeight="false" outlineLevel="0" collapsed="false">
      <c r="A13" s="26" t="n">
        <v>8</v>
      </c>
      <c r="B13" s="27" t="s">
        <v>153</v>
      </c>
      <c r="C13" s="27" t="s">
        <v>110</v>
      </c>
      <c r="D13" s="28" t="s">
        <v>43</v>
      </c>
      <c r="E13" s="27" t="s">
        <v>111</v>
      </c>
      <c r="F13" s="27" t="s">
        <v>154</v>
      </c>
      <c r="G13" s="29" t="n">
        <v>550000</v>
      </c>
      <c r="H13" s="29" t="n">
        <v>530000</v>
      </c>
      <c r="I13" s="30" t="n">
        <v>0</v>
      </c>
      <c r="J13" s="31" t="n">
        <f aca="false">Assumptions!$C$15</f>
        <v>0.25</v>
      </c>
      <c r="K13" s="29" t="n">
        <v>48000</v>
      </c>
      <c r="L13" s="27" t="s">
        <v>155</v>
      </c>
      <c r="M13" s="28" t="s">
        <v>39</v>
      </c>
      <c r="N13" s="28" t="s">
        <v>114</v>
      </c>
      <c r="O13" s="29" t="n">
        <v>8</v>
      </c>
      <c r="P13" s="28" t="s">
        <v>62</v>
      </c>
      <c r="Q13" s="32" t="n">
        <f aca="false">H13*(1-J13)</f>
        <v>397500</v>
      </c>
      <c r="R13" s="33" t="n">
        <f aca="false">IF((1-J13)&gt;0.75,Assumptions!$C$11,IF((1-J13)&gt;0.7,Assumptions!$C$12,Assumptions!$C$13))</f>
        <v>0.0725</v>
      </c>
      <c r="S13" s="32" t="n">
        <f aca="false">PMT(R13/12,Assumptions!$C$14,-Q13)</f>
        <v>2711.65071322336</v>
      </c>
      <c r="T13" s="32" t="n">
        <f aca="false">H13*INDEX(Assumptions!$C$28:$C$33,MATCH(D13,Assumptions!$B$28:$B$33,0))/12</f>
        <v>662.5</v>
      </c>
      <c r="U13" s="32" t="n">
        <f aca="false">(Assumptions!$C$19+INDEX(Assumptions!$C$22:$C$25,MATCH(M13,Assumptions!$B$22:$B$25,0)))/12</f>
        <v>750</v>
      </c>
      <c r="V13" s="32" t="n">
        <f aca="false">S13+T13+U13+O13</f>
        <v>4132.15071322336</v>
      </c>
      <c r="W13" s="34" t="n">
        <f aca="false">IFERROR(K13/12/V13,0)</f>
        <v>0.968018902892272</v>
      </c>
      <c r="X13" s="34" t="n">
        <f aca="false">IFERROR(K13*Assumptions!$C$18/12/V13,0)</f>
        <v>0.774415122313818</v>
      </c>
      <c r="Y13" s="32" t="n">
        <f aca="false">H13*J13+H13*(Assumptions!$C$16-I13)</f>
        <v>153700</v>
      </c>
      <c r="Z13" s="32" t="n">
        <f aca="false">V13*Assumptions!$C$17</f>
        <v>24792.9042793402</v>
      </c>
      <c r="AA13" s="32" t="n">
        <f aca="false">K13*INDEX(Assumptions!$H$36:$H$37,MATCH(P13,Assumptions!$B$36:$B$37,0))+Assumptions!$C$40+IF(N13="Y",Assumptions!$C$41,Assumptions!$C$42)</f>
        <v>24840</v>
      </c>
      <c r="AB13" s="32" t="n">
        <f aca="false">K13*INDEX(Assumptions!$C$36:$C$37,MATCH(P13,Assumptions!$B$36:$B$37,0))</f>
        <v>9600</v>
      </c>
      <c r="AC13" s="32" t="n">
        <f aca="false">K13-AA13-V13*12</f>
        <v>-26425.8085586803</v>
      </c>
      <c r="AD13" s="32" t="n">
        <f aca="false">AC13-AB13</f>
        <v>-36025.8085586803</v>
      </c>
      <c r="AE13" s="35" t="n">
        <f aca="false">IFERROR(K13/H13,0)</f>
        <v>0.0905660377358491</v>
      </c>
      <c r="AF13" s="35" t="n">
        <f aca="false">IFERROR((K13-AA13-AB13)/H13,0)</f>
        <v>0.0255849056603774</v>
      </c>
      <c r="AG13" s="27" t="s">
        <v>156</v>
      </c>
      <c r="AH13" s="26" t="n">
        <v>12</v>
      </c>
      <c r="AI13" s="27" t="s">
        <v>157</v>
      </c>
      <c r="AJ13" s="36" t="s">
        <v>117</v>
      </c>
    </row>
    <row r="14" customFormat="false" ht="23.85" hidden="false" customHeight="false" outlineLevel="0" collapsed="false">
      <c r="A14" s="5" t="n">
        <v>9</v>
      </c>
      <c r="B14" s="17" t="s">
        <v>158</v>
      </c>
      <c r="C14" s="17" t="s">
        <v>127</v>
      </c>
      <c r="D14" s="18" t="s">
        <v>43</v>
      </c>
      <c r="E14" s="17" t="s">
        <v>111</v>
      </c>
      <c r="F14" s="17" t="s">
        <v>159</v>
      </c>
      <c r="G14" s="11" t="n">
        <v>385000</v>
      </c>
      <c r="H14" s="11" t="n">
        <v>360000</v>
      </c>
      <c r="I14" s="10" t="n">
        <v>0</v>
      </c>
      <c r="J14" s="19" t="n">
        <f aca="false">Assumptions!$C$15</f>
        <v>0.25</v>
      </c>
      <c r="K14" s="11" t="n">
        <v>40000</v>
      </c>
      <c r="L14" s="17" t="s">
        <v>160</v>
      </c>
      <c r="M14" s="18" t="s">
        <v>33</v>
      </c>
      <c r="N14" s="18" t="s">
        <v>123</v>
      </c>
      <c r="O14" s="11" t="n">
        <v>0</v>
      </c>
      <c r="P14" s="18" t="s">
        <v>62</v>
      </c>
      <c r="Q14" s="20" t="n">
        <f aca="false">H14*(1-J14)</f>
        <v>270000</v>
      </c>
      <c r="R14" s="21" t="n">
        <f aca="false">IF((1-J14)&gt;0.75,Assumptions!$C$11,IF((1-J14)&gt;0.7,Assumptions!$C$12,Assumptions!$C$13))</f>
        <v>0.0725</v>
      </c>
      <c r="S14" s="20" t="n">
        <f aca="false">PMT(R14/12,Assumptions!$C$14,-Q14)</f>
        <v>1841.87595615172</v>
      </c>
      <c r="T14" s="20" t="n">
        <f aca="false">H14*INDEX(Assumptions!$C$28:$C$33,MATCH(D14,Assumptions!$B$28:$B$33,0))/12</f>
        <v>450</v>
      </c>
      <c r="U14" s="20" t="n">
        <f aca="false">(Assumptions!$C$19+INDEX(Assumptions!$C$22:$C$25,MATCH(M14,Assumptions!$B$22:$B$25,0)))/12</f>
        <v>666.666666666667</v>
      </c>
      <c r="V14" s="20" t="n">
        <f aca="false">S14+T14+U14+O14</f>
        <v>2958.54262281838</v>
      </c>
      <c r="W14" s="22" t="n">
        <f aca="false">IFERROR(K14/12/V14,0)</f>
        <v>1.12668085550781</v>
      </c>
      <c r="X14" s="22" t="n">
        <f aca="false">IFERROR(K14*Assumptions!$C$18/12/V14,0)</f>
        <v>0.901344684406247</v>
      </c>
      <c r="Y14" s="20" t="n">
        <f aca="false">H14*J14+H14*(Assumptions!$C$16-I14)</f>
        <v>104400</v>
      </c>
      <c r="Z14" s="20" t="n">
        <f aca="false">V14*Assumptions!$C$17</f>
        <v>17751.2557369103</v>
      </c>
      <c r="AA14" s="20" t="n">
        <f aca="false">K14*INDEX(Assumptions!$H$36:$H$37,MATCH(P14,Assumptions!$B$36:$B$37,0))+Assumptions!$C$40+IF(N14="Y",Assumptions!$C$41,Assumptions!$C$42)</f>
        <v>20400</v>
      </c>
      <c r="AB14" s="20" t="n">
        <f aca="false">K14*INDEX(Assumptions!$C$36:$C$37,MATCH(P14,Assumptions!$B$36:$B$37,0))</f>
        <v>8000</v>
      </c>
      <c r="AC14" s="20" t="n">
        <f aca="false">K14-AA14-V14*12</f>
        <v>-15902.5114738206</v>
      </c>
      <c r="AD14" s="20" t="n">
        <f aca="false">AC14-AB14</f>
        <v>-23902.5114738206</v>
      </c>
      <c r="AE14" s="14" t="n">
        <f aca="false">IFERROR(K14/H14,0)</f>
        <v>0.111111111111111</v>
      </c>
      <c r="AF14" s="14" t="n">
        <f aca="false">IFERROR((K14-AA14-AB14)/H14,0)</f>
        <v>0.0322222222222222</v>
      </c>
      <c r="AG14" s="17" t="s">
        <v>161</v>
      </c>
      <c r="AH14" s="5" t="n">
        <v>214</v>
      </c>
      <c r="AI14" s="17" t="s">
        <v>162</v>
      </c>
      <c r="AJ14" s="25" t="s">
        <v>117</v>
      </c>
    </row>
    <row r="15" customFormat="false" ht="46.25" hidden="false" customHeight="false" outlineLevel="0" collapsed="false">
      <c r="A15" s="26" t="n">
        <v>10</v>
      </c>
      <c r="B15" s="27" t="s">
        <v>163</v>
      </c>
      <c r="C15" s="27" t="s">
        <v>164</v>
      </c>
      <c r="D15" s="28" t="s">
        <v>45</v>
      </c>
      <c r="E15" s="27" t="s">
        <v>165</v>
      </c>
      <c r="F15" s="27" t="s">
        <v>166</v>
      </c>
      <c r="G15" s="29" t="n">
        <v>655000</v>
      </c>
      <c r="H15" s="29" t="n">
        <v>655000</v>
      </c>
      <c r="I15" s="30" t="n">
        <v>0</v>
      </c>
      <c r="J15" s="31" t="n">
        <f aca="false">Assumptions!$C$15</f>
        <v>0.25</v>
      </c>
      <c r="K15" s="29" t="n">
        <v>102000</v>
      </c>
      <c r="L15" s="27" t="s">
        <v>167</v>
      </c>
      <c r="M15" s="28" t="s">
        <v>39</v>
      </c>
      <c r="N15" s="28" t="s">
        <v>123</v>
      </c>
      <c r="O15" s="29" t="n">
        <v>0</v>
      </c>
      <c r="P15" s="28" t="s">
        <v>64</v>
      </c>
      <c r="Q15" s="32" t="n">
        <f aca="false">H15*(1-J15)</f>
        <v>491250</v>
      </c>
      <c r="R15" s="33" t="n">
        <f aca="false">IF((1-J15)&gt;0.75,Assumptions!$C$11,IF((1-J15)&gt;0.7,Assumptions!$C$12,Assumptions!$C$13))</f>
        <v>0.0725</v>
      </c>
      <c r="S15" s="32" t="n">
        <f aca="false">PMT(R15/12,Assumptions!$C$14,-Q15)</f>
        <v>3351.19097577604</v>
      </c>
      <c r="T15" s="32" t="n">
        <f aca="false">H15*INDEX(Assumptions!$C$28:$C$33,MATCH(D15,Assumptions!$B$28:$B$33,0))/12</f>
        <v>736.875</v>
      </c>
      <c r="U15" s="32" t="n">
        <f aca="false">(Assumptions!$C$19+INDEX(Assumptions!$C$22:$C$25,MATCH(M15,Assumptions!$B$22:$B$25,0)))/12</f>
        <v>750</v>
      </c>
      <c r="V15" s="32" t="n">
        <f aca="false">S15+T15+U15+O15</f>
        <v>4838.06597577604</v>
      </c>
      <c r="W15" s="34" t="n">
        <f aca="false">IFERROR(K15/12/V15,0)</f>
        <v>1.75690039006477</v>
      </c>
      <c r="X15" s="34" t="n">
        <f aca="false">IFERROR(K15*Assumptions!$C$18/12/V15,0)</f>
        <v>1.40552031205181</v>
      </c>
      <c r="Y15" s="32" t="n">
        <f aca="false">H15*J15+H15*(Assumptions!$C$16-I15)</f>
        <v>189950</v>
      </c>
      <c r="Z15" s="32" t="n">
        <f aca="false">V15*Assumptions!$C$17</f>
        <v>29028.3958546563</v>
      </c>
      <c r="AA15" s="32" t="n">
        <f aca="false">K15*INDEX(Assumptions!$H$36:$H$37,MATCH(P15,Assumptions!$B$36:$B$37,0))+Assumptions!$C$40+IF(N15="Y",Assumptions!$C$41,Assumptions!$C$42)</f>
        <v>23520</v>
      </c>
      <c r="AB15" s="32" t="n">
        <f aca="false">K15*INDEX(Assumptions!$C$36:$C$37,MATCH(P15,Assumptions!$B$36:$B$37,0))</f>
        <v>12240</v>
      </c>
      <c r="AC15" s="32" t="n">
        <f aca="false">K15-AA15-V15*12</f>
        <v>20423.2082906875</v>
      </c>
      <c r="AD15" s="32" t="n">
        <f aca="false">AC15-AB15</f>
        <v>8183.20829068749</v>
      </c>
      <c r="AE15" s="35" t="n">
        <f aca="false">IFERROR(K15/H15,0)</f>
        <v>0.155725190839695</v>
      </c>
      <c r="AF15" s="35" t="n">
        <f aca="false">IFERROR((K15-AA15-AB15)/H15,0)</f>
        <v>0.101129770992366</v>
      </c>
      <c r="AG15" s="27" t="s">
        <v>168</v>
      </c>
      <c r="AH15" s="26" t="n">
        <v>5</v>
      </c>
      <c r="AI15" s="27" t="s">
        <v>169</v>
      </c>
      <c r="AJ15" s="36" t="s">
        <v>117</v>
      </c>
    </row>
    <row r="16" customFormat="false" ht="23.85" hidden="false" customHeight="false" outlineLevel="0" collapsed="false">
      <c r="A16" s="5" t="n">
        <v>11</v>
      </c>
      <c r="B16" s="17" t="s">
        <v>170</v>
      </c>
      <c r="C16" s="17" t="s">
        <v>171</v>
      </c>
      <c r="D16" s="18" t="s">
        <v>43</v>
      </c>
      <c r="E16" s="17" t="s">
        <v>172</v>
      </c>
      <c r="F16" s="17" t="s">
        <v>173</v>
      </c>
      <c r="G16" s="11" t="n">
        <v>279000</v>
      </c>
      <c r="H16" s="11" t="n">
        <v>279000</v>
      </c>
      <c r="I16" s="10" t="n">
        <v>0</v>
      </c>
      <c r="J16" s="19" t="n">
        <f aca="false">Assumptions!$C$15</f>
        <v>0.25</v>
      </c>
      <c r="K16" s="11" t="n">
        <v>44000</v>
      </c>
      <c r="L16" s="17" t="s">
        <v>174</v>
      </c>
      <c r="M16" s="18" t="s">
        <v>39</v>
      </c>
      <c r="N16" s="18" t="s">
        <v>123</v>
      </c>
      <c r="O16" s="11" t="n">
        <v>477</v>
      </c>
      <c r="P16" s="18" t="s">
        <v>62</v>
      </c>
      <c r="Q16" s="20" t="n">
        <f aca="false">H16*(1-J16)</f>
        <v>209250</v>
      </c>
      <c r="R16" s="21" t="n">
        <f aca="false">IF((1-J16)&gt;0.75,Assumptions!$C$11,IF((1-J16)&gt;0.7,Assumptions!$C$12,Assumptions!$C$13))</f>
        <v>0.0725</v>
      </c>
      <c r="S16" s="20" t="n">
        <f aca="false">PMT(R16/12,Assumptions!$C$14,-Q16)</f>
        <v>1427.45386601758</v>
      </c>
      <c r="T16" s="20" t="n">
        <f aca="false">H16*INDEX(Assumptions!$C$28:$C$33,MATCH(D16,Assumptions!$B$28:$B$33,0))/12</f>
        <v>348.75</v>
      </c>
      <c r="U16" s="20" t="n">
        <f aca="false">(Assumptions!$C$19+INDEX(Assumptions!$C$22:$C$25,MATCH(M16,Assumptions!$B$22:$B$25,0)))/12</f>
        <v>750</v>
      </c>
      <c r="V16" s="20" t="n">
        <f aca="false">S16+T16+U16+O16</f>
        <v>3003.20386601758</v>
      </c>
      <c r="W16" s="22" t="n">
        <f aca="false">IFERROR(K16/12/V16,0)</f>
        <v>1.22091833596661</v>
      </c>
      <c r="X16" s="22" t="n">
        <f aca="false">IFERROR(K16*Assumptions!$C$18/12/V16,0)</f>
        <v>0.976734668773286</v>
      </c>
      <c r="Y16" s="20" t="n">
        <f aca="false">H16*J16+H16*(Assumptions!$C$16-I16)</f>
        <v>80910</v>
      </c>
      <c r="Z16" s="20" t="n">
        <f aca="false">V16*Assumptions!$C$17</f>
        <v>18019.2231961055</v>
      </c>
      <c r="AA16" s="20" t="n">
        <f aca="false">K16*INDEX(Assumptions!$H$36:$H$37,MATCH(P16,Assumptions!$B$36:$B$37,0))+Assumptions!$C$40+IF(N16="Y",Assumptions!$C$41,Assumptions!$C$42)</f>
        <v>21720</v>
      </c>
      <c r="AB16" s="20" t="n">
        <f aca="false">K16*INDEX(Assumptions!$C$36:$C$37,MATCH(P16,Assumptions!$B$36:$B$37,0))</f>
        <v>8800</v>
      </c>
      <c r="AC16" s="20" t="n">
        <f aca="false">K16-AA16-V16*12</f>
        <v>-13758.446392211</v>
      </c>
      <c r="AD16" s="20" t="n">
        <f aca="false">AC16-AB16</f>
        <v>-22558.446392211</v>
      </c>
      <c r="AE16" s="14" t="n">
        <f aca="false">IFERROR(K16/H16,0)</f>
        <v>0.157706093189964</v>
      </c>
      <c r="AF16" s="14" t="n">
        <f aca="false">IFERROR((K16-AA16-AB16)/H16,0)</f>
        <v>0.0483154121863799</v>
      </c>
      <c r="AG16" s="17"/>
      <c r="AH16" s="5" t="n">
        <v>55</v>
      </c>
      <c r="AI16" s="17" t="s">
        <v>175</v>
      </c>
      <c r="AJ16" s="25" t="s">
        <v>117</v>
      </c>
    </row>
    <row r="17" customFormat="false" ht="23.85" hidden="false" customHeight="false" outlineLevel="0" collapsed="false">
      <c r="A17" s="26" t="n">
        <v>12</v>
      </c>
      <c r="B17" s="27" t="s">
        <v>176</v>
      </c>
      <c r="C17" s="27" t="s">
        <v>177</v>
      </c>
      <c r="D17" s="28" t="s">
        <v>45</v>
      </c>
      <c r="E17" s="27" t="s">
        <v>178</v>
      </c>
      <c r="F17" s="27" t="s">
        <v>179</v>
      </c>
      <c r="G17" s="29" t="n">
        <v>639000</v>
      </c>
      <c r="H17" s="29" t="n">
        <v>639000</v>
      </c>
      <c r="I17" s="30" t="n">
        <v>0</v>
      </c>
      <c r="J17" s="31" t="n">
        <f aca="false">Assumptions!$C$15</f>
        <v>0.25</v>
      </c>
      <c r="K17" s="29" t="n">
        <v>50000</v>
      </c>
      <c r="L17" s="27" t="s">
        <v>180</v>
      </c>
      <c r="M17" s="28" t="s">
        <v>35</v>
      </c>
      <c r="N17" s="28" t="s">
        <v>123</v>
      </c>
      <c r="O17" s="29" t="n">
        <v>945</v>
      </c>
      <c r="P17" s="28" t="s">
        <v>62</v>
      </c>
      <c r="Q17" s="32" t="n">
        <f aca="false">H17*(1-J17)</f>
        <v>479250</v>
      </c>
      <c r="R17" s="33" t="n">
        <f aca="false">IF((1-J17)&gt;0.75,Assumptions!$C$11,IF((1-J17)&gt;0.7,Assumptions!$C$12,Assumptions!$C$13))</f>
        <v>0.0725</v>
      </c>
      <c r="S17" s="32" t="n">
        <f aca="false">PMT(R17/12,Assumptions!$C$14,-Q17)</f>
        <v>3269.3298221693</v>
      </c>
      <c r="T17" s="32" t="n">
        <f aca="false">H17*INDEX(Assumptions!$C$28:$C$33,MATCH(D17,Assumptions!$B$28:$B$33,0))/12</f>
        <v>718.875</v>
      </c>
      <c r="U17" s="32" t="n">
        <f aca="false">(Assumptions!$C$19+INDEX(Assumptions!$C$22:$C$25,MATCH(M17,Assumptions!$B$22:$B$25,0)))/12</f>
        <v>958.333333333333</v>
      </c>
      <c r="V17" s="32" t="n">
        <f aca="false">S17+T17+U17+O17</f>
        <v>5891.53815550263</v>
      </c>
      <c r="W17" s="34" t="n">
        <f aca="false">IFERROR(K17/12/V17,0)</f>
        <v>0.707229004835528</v>
      </c>
      <c r="X17" s="34" t="n">
        <f aca="false">IFERROR(K17*Assumptions!$C$18/12/V17,0)</f>
        <v>0.565783203868422</v>
      </c>
      <c r="Y17" s="32" t="n">
        <f aca="false">H17*J17+H17*(Assumptions!$C$16-I17)</f>
        <v>185310</v>
      </c>
      <c r="Z17" s="32" t="n">
        <f aca="false">V17*Assumptions!$C$17</f>
        <v>35349.2289330158</v>
      </c>
      <c r="AA17" s="32" t="n">
        <f aca="false">K17*INDEX(Assumptions!$H$36:$H$37,MATCH(P17,Assumptions!$B$36:$B$37,0))+Assumptions!$C$40+IF(N17="Y",Assumptions!$C$41,Assumptions!$C$42)</f>
        <v>23700</v>
      </c>
      <c r="AB17" s="32" t="n">
        <f aca="false">K17*INDEX(Assumptions!$C$36:$C$37,MATCH(P17,Assumptions!$B$36:$B$37,0))</f>
        <v>10000</v>
      </c>
      <c r="AC17" s="32" t="n">
        <f aca="false">K17-AA17-V17*12</f>
        <v>-44398.4578660316</v>
      </c>
      <c r="AD17" s="32" t="n">
        <f aca="false">AC17-AB17</f>
        <v>-54398.4578660316</v>
      </c>
      <c r="AE17" s="35" t="n">
        <f aca="false">IFERROR(K17/H17,0)</f>
        <v>0.0782472613458529</v>
      </c>
      <c r="AF17" s="35" t="n">
        <f aca="false">IFERROR((K17-AA17-AB17)/H17,0)</f>
        <v>0.025508607198748</v>
      </c>
      <c r="AG17" s="27"/>
      <c r="AH17" s="26" t="n">
        <v>27</v>
      </c>
      <c r="AI17" s="27" t="s">
        <v>181</v>
      </c>
      <c r="AJ17" s="36" t="s">
        <v>117</v>
      </c>
    </row>
    <row r="20" customFormat="false" ht="15" hidden="false" customHeight="false" outlineLevel="0" collapsed="false">
      <c r="A20" s="37" t="s">
        <v>182</v>
      </c>
    </row>
    <row r="21" customFormat="false" ht="15" hidden="false" customHeight="false" outlineLevel="0" collapsed="false">
      <c r="B21" s="13" t="s">
        <v>75</v>
      </c>
      <c r="C21" s="13" t="s">
        <v>76</v>
      </c>
      <c r="G21" s="13" t="s">
        <v>183</v>
      </c>
      <c r="L21" s="13" t="s">
        <v>184</v>
      </c>
      <c r="AI21" s="13" t="s">
        <v>185</v>
      </c>
      <c r="AJ21" s="13" t="s">
        <v>186</v>
      </c>
    </row>
    <row r="22" customFormat="false" ht="35.05" hidden="false" customHeight="false" outlineLevel="0" collapsed="false">
      <c r="B22" s="17" t="s">
        <v>187</v>
      </c>
      <c r="C22" s="17" t="s">
        <v>110</v>
      </c>
      <c r="G22" s="11" t="n">
        <v>619000</v>
      </c>
      <c r="L22" s="17" t="s">
        <v>188</v>
      </c>
      <c r="AI22" s="17" t="s">
        <v>189</v>
      </c>
      <c r="AJ22" s="25" t="s">
        <v>117</v>
      </c>
    </row>
    <row r="23" customFormat="false" ht="23.85" hidden="false" customHeight="false" outlineLevel="0" collapsed="false">
      <c r="B23" s="17" t="s">
        <v>190</v>
      </c>
      <c r="C23" s="17" t="s">
        <v>191</v>
      </c>
      <c r="G23" s="11" t="n">
        <v>524900</v>
      </c>
      <c r="L23" s="17" t="s">
        <v>192</v>
      </c>
      <c r="AI23" s="17" t="s">
        <v>189</v>
      </c>
      <c r="AJ23" s="25" t="s">
        <v>117</v>
      </c>
    </row>
    <row r="24" customFormat="false" ht="23.85" hidden="false" customHeight="false" outlineLevel="0" collapsed="false">
      <c r="B24" s="17" t="s">
        <v>193</v>
      </c>
      <c r="C24" s="17" t="s">
        <v>127</v>
      </c>
      <c r="G24" s="11" t="n">
        <v>499000</v>
      </c>
      <c r="L24" s="17" t="s">
        <v>194</v>
      </c>
      <c r="AI24" s="17" t="s">
        <v>189</v>
      </c>
      <c r="AJ24" s="25" t="s">
        <v>117</v>
      </c>
    </row>
    <row r="25" customFormat="false" ht="23.85" hidden="false" customHeight="false" outlineLevel="0" collapsed="false">
      <c r="B25" s="17" t="s">
        <v>195</v>
      </c>
      <c r="C25" s="17" t="s">
        <v>110</v>
      </c>
      <c r="G25" s="11" t="n">
        <v>450000</v>
      </c>
      <c r="L25" s="17" t="s">
        <v>196</v>
      </c>
      <c r="AI25" s="17" t="s">
        <v>189</v>
      </c>
      <c r="AJ25" s="25" t="s">
        <v>117</v>
      </c>
    </row>
    <row r="26" customFormat="false" ht="35.05" hidden="false" customHeight="false" outlineLevel="0" collapsed="false">
      <c r="B26" s="17" t="s">
        <v>197</v>
      </c>
      <c r="C26" s="17" t="s">
        <v>127</v>
      </c>
      <c r="G26" s="11" t="n">
        <v>625000</v>
      </c>
      <c r="L26" s="17" t="s">
        <v>198</v>
      </c>
      <c r="AI26" s="17" t="s">
        <v>189</v>
      </c>
      <c r="AJ26" s="25" t="s">
        <v>117</v>
      </c>
    </row>
    <row r="27" customFormat="false" ht="35.05" hidden="false" customHeight="false" outlineLevel="0" collapsed="false">
      <c r="B27" s="17" t="s">
        <v>199</v>
      </c>
      <c r="C27" s="17" t="s">
        <v>200</v>
      </c>
      <c r="G27" s="11" t="n">
        <v>419999</v>
      </c>
      <c r="L27" s="17" t="s">
        <v>201</v>
      </c>
      <c r="AI27" s="17" t="s">
        <v>189</v>
      </c>
      <c r="AJ27" s="25" t="s">
        <v>117</v>
      </c>
    </row>
    <row r="28" customFormat="false" ht="23.85" hidden="false" customHeight="false" outlineLevel="0" collapsed="false">
      <c r="B28" s="17" t="s">
        <v>202</v>
      </c>
      <c r="C28" s="17" t="s">
        <v>203</v>
      </c>
      <c r="G28" s="11" t="n">
        <v>374900</v>
      </c>
      <c r="L28" s="17" t="s">
        <v>204</v>
      </c>
      <c r="AI28" s="17" t="s">
        <v>189</v>
      </c>
      <c r="AJ28" s="25" t="s">
        <v>117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P6:P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J6" r:id="rId2" display="Zillow"/>
    <hyperlink ref="AJ7" r:id="rId3" display="Zillow"/>
    <hyperlink ref="AJ8" r:id="rId4" display="Zillow"/>
    <hyperlink ref="AJ9" r:id="rId5" display="Zillow"/>
    <hyperlink ref="AJ10" r:id="rId6" display="Zillow"/>
    <hyperlink ref="AJ11" r:id="rId7" display="Zillow"/>
    <hyperlink ref="AJ12" r:id="rId8" display="Zillow"/>
    <hyperlink ref="AJ13" r:id="rId9" display="Zillow"/>
    <hyperlink ref="AJ14" r:id="rId10" display="Zillow"/>
    <hyperlink ref="AJ15" r:id="rId11" display="Zillow"/>
    <hyperlink ref="AJ16" r:id="rId12" display="Zillow"/>
    <hyperlink ref="AJ17" r:id="rId13" display="Zillow"/>
    <hyperlink ref="AJ22" r:id="rId14" display="Zillow"/>
    <hyperlink ref="AJ23" r:id="rId15" display="Zillow"/>
    <hyperlink ref="AJ24" r:id="rId16" display="Zillow"/>
    <hyperlink ref="AJ25" r:id="rId17" display="Zillow"/>
    <hyperlink ref="AJ26" r:id="rId18" display="Zillow"/>
    <hyperlink ref="AJ27" r:id="rId19" display="Zillow"/>
    <hyperlink ref="AJ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6" min="15" style="0" width="9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21" min="19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2"/>
    <col collapsed="false" customWidth="true" hidden="false" outlineLevel="0" max="32" min="31" style="0" width="8"/>
    <col collapsed="false" customWidth="true" hidden="false" outlineLevel="0" max="33" min="33" style="0" width="16"/>
    <col collapsed="false" customWidth="true" hidden="false" outlineLevel="0" max="34" min="34" style="0" width="6"/>
    <col collapsed="false" customWidth="true" hidden="false" outlineLevel="0" max="35" min="35" style="0" width="50"/>
    <col collapsed="false" customWidth="true" hidden="false" outlineLevel="0" max="36" min="36" style="0" width="14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3" customFormat="false" ht="15" hidden="false" customHeight="false" outlineLevel="0" collapsed="false">
      <c r="A3" s="2" t="s">
        <v>73</v>
      </c>
    </row>
    <row r="5" customFormat="false" ht="42" hidden="false" customHeight="true" outlineLevel="0" collapsed="false">
      <c r="A5" s="13" t="s">
        <v>74</v>
      </c>
      <c r="B5" s="13" t="s">
        <v>75</v>
      </c>
      <c r="C5" s="13" t="s">
        <v>76</v>
      </c>
      <c r="D5" s="13" t="s">
        <v>77</v>
      </c>
      <c r="E5" s="13" t="s">
        <v>78</v>
      </c>
      <c r="F5" s="13" t="s">
        <v>79</v>
      </c>
      <c r="G5" s="13" t="s">
        <v>80</v>
      </c>
      <c r="H5" s="13" t="s">
        <v>81</v>
      </c>
      <c r="I5" s="13" t="s">
        <v>82</v>
      </c>
      <c r="J5" s="13" t="s">
        <v>83</v>
      </c>
      <c r="K5" s="13" t="s">
        <v>84</v>
      </c>
      <c r="L5" s="13" t="s">
        <v>85</v>
      </c>
      <c r="M5" s="13" t="s">
        <v>86</v>
      </c>
      <c r="N5" s="13" t="s">
        <v>87</v>
      </c>
      <c r="O5" s="13" t="s">
        <v>88</v>
      </c>
      <c r="P5" s="13" t="s">
        <v>89</v>
      </c>
      <c r="Q5" s="15" t="s">
        <v>90</v>
      </c>
      <c r="R5" s="15" t="s">
        <v>42</v>
      </c>
      <c r="S5" s="15" t="s">
        <v>91</v>
      </c>
      <c r="T5" s="15" t="s">
        <v>92</v>
      </c>
      <c r="U5" s="15" t="s">
        <v>93</v>
      </c>
      <c r="V5" s="15" t="s">
        <v>94</v>
      </c>
      <c r="W5" s="15" t="s">
        <v>95</v>
      </c>
      <c r="X5" s="15" t="s">
        <v>96</v>
      </c>
      <c r="Y5" s="15" t="s">
        <v>97</v>
      </c>
      <c r="Z5" s="15" t="s">
        <v>98</v>
      </c>
      <c r="AA5" s="15" t="s">
        <v>99</v>
      </c>
      <c r="AB5" s="15" t="s">
        <v>100</v>
      </c>
      <c r="AC5" s="15" t="s">
        <v>101</v>
      </c>
      <c r="AD5" s="15" t="s">
        <v>102</v>
      </c>
      <c r="AE5" s="15" t="s">
        <v>103</v>
      </c>
      <c r="AF5" s="15" t="s">
        <v>104</v>
      </c>
      <c r="AG5" s="13" t="s">
        <v>105</v>
      </c>
      <c r="AH5" s="13" t="s">
        <v>106</v>
      </c>
      <c r="AI5" s="13" t="s">
        <v>107</v>
      </c>
      <c r="AJ5" s="13" t="s">
        <v>108</v>
      </c>
    </row>
    <row r="6" customFormat="false" ht="15" hidden="false" customHeight="false" outlineLevel="0" collapsed="false">
      <c r="A6" s="2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208</v>
      </c>
    </row>
    <row r="2" customFormat="false" ht="15" hidden="false" customHeight="false" outlineLevel="0" collapsed="false">
      <c r="A2" s="2" t="s">
        <v>209</v>
      </c>
    </row>
    <row r="4" customFormat="false" ht="42" hidden="false" customHeight="true" outlineLevel="0" collapsed="false">
      <c r="A4" s="13" t="s">
        <v>210</v>
      </c>
      <c r="B4" s="13" t="s">
        <v>211</v>
      </c>
      <c r="C4" s="13" t="s">
        <v>81</v>
      </c>
      <c r="D4" s="13" t="s">
        <v>82</v>
      </c>
      <c r="E4" s="13" t="s">
        <v>212</v>
      </c>
      <c r="F4" s="13" t="s">
        <v>213</v>
      </c>
      <c r="G4" s="13" t="s">
        <v>42</v>
      </c>
      <c r="H4" s="13" t="s">
        <v>91</v>
      </c>
      <c r="I4" s="13" t="s">
        <v>94</v>
      </c>
      <c r="J4" s="13" t="s">
        <v>95</v>
      </c>
      <c r="K4" s="13" t="s">
        <v>214</v>
      </c>
      <c r="L4" s="13" t="s">
        <v>215</v>
      </c>
      <c r="M4" s="13" t="s">
        <v>101</v>
      </c>
      <c r="N4" s="13" t="s">
        <v>102</v>
      </c>
      <c r="O4" s="13" t="s">
        <v>216</v>
      </c>
      <c r="P4" s="13" t="s">
        <v>217</v>
      </c>
    </row>
    <row r="5" customFormat="false" ht="15" hidden="false" customHeight="false" outlineLevel="0" collapsed="false">
      <c r="A5" s="38" t="str">
        <f aca="false">'Manatee-Sarasota'!$B$6</f>
        <v>8404 43rd Ave Terrace W</v>
      </c>
      <c r="B5" s="9" t="n">
        <v>0.2</v>
      </c>
      <c r="C5" s="39" t="n">
        <f aca="false">'Manatee-Sarasota'!$H$6</f>
        <v>560000</v>
      </c>
      <c r="D5" s="19" t="n">
        <f aca="false">'Manatee-Sarasota'!$I$6</f>
        <v>0.03</v>
      </c>
      <c r="E5" s="39" t="n">
        <f aca="false">'Manatee-Sarasota'!$K$6</f>
        <v>85000</v>
      </c>
      <c r="F5" s="20" t="n">
        <f aca="false">C5*(1-B5)</f>
        <v>448000</v>
      </c>
      <c r="G5" s="21" t="n">
        <f aca="false">IF((1-B5)&gt;0.75,Assumptions!$C$11,IF((1-B5)&gt;0.7,Assumptions!$C$12,Assumptions!$C$13))</f>
        <v>0.075</v>
      </c>
      <c r="H5" s="20" t="n">
        <f aca="false">PMT(G5/12,Assumptions!$C$14,-F5)</f>
        <v>3132.48099831645</v>
      </c>
      <c r="I5" s="20" t="n">
        <f aca="false">H5+C5*INDEX(Assumptions!$C$28:$C$33,MATCH('Manatee-Sarasota'!$D$6,Assumptions!$B$28:$B$33,0))/12+(Assumptions!$C$19+INDEX(Assumptions!$C$22:$C$25,MATCH('Manatee-Sarasota'!$M$6,Assumptions!$B$22:$B$25,0)))/12+'Manatee-Sarasota'!$O$6</f>
        <v>4582.48099831645</v>
      </c>
      <c r="J5" s="22" t="n">
        <f aca="false">IFERROR(E5/12/I5,0)</f>
        <v>1.54574199782512</v>
      </c>
      <c r="K5" s="22" t="n">
        <f aca="false">IFERROR(E5*Assumptions!$C$18/12/I5,0)</f>
        <v>1.2365935982601</v>
      </c>
      <c r="L5" s="20" t="n">
        <f aca="false">C5*B5+C5*(Assumptions!$C$16-D5)</f>
        <v>117600</v>
      </c>
      <c r="M5" s="20" t="n">
        <f aca="false">E5-(E5*INDEX(Assumptions!$H$36:$H$37,MATCH('Manatee-Sarasota'!$P$6,Assumptions!$B$36:$B$37,0))+Assumptions!$C$40+IF('Manatee-Sarasota'!$N$6="Y",Assumptions!$C$41,Assumptions!$C$42))-I5*12</f>
        <v>-7039.77197979741</v>
      </c>
      <c r="N5" s="20" t="n">
        <f aca="false">M5-E5*INDEX(Assumptions!$C$36:$C$37,MATCH('Manatee-Sarasota'!$P$6,Assumptions!$B$36:$B$37,0))</f>
        <v>-24039.7719797974</v>
      </c>
      <c r="O5" s="14" t="n">
        <f aca="false">IFERROR(M5/L5,0)</f>
        <v>-0.0598620066309303</v>
      </c>
      <c r="P5" s="40" t="s">
        <v>218</v>
      </c>
    </row>
    <row r="6" customFormat="false" ht="15" hidden="false" customHeight="false" outlineLevel="0" collapsed="false">
      <c r="A6" s="38" t="str">
        <f aca="false">'Manatee-Sarasota'!$B$6</f>
        <v>8404 43rd Ave Terrace W</v>
      </c>
      <c r="B6" s="9" t="n">
        <v>0.25</v>
      </c>
      <c r="C6" s="39" t="n">
        <f aca="false">'Manatee-Sarasota'!$H$6</f>
        <v>560000</v>
      </c>
      <c r="D6" s="19" t="n">
        <f aca="false">'Manatee-Sarasota'!$I$6</f>
        <v>0.03</v>
      </c>
      <c r="E6" s="39" t="n">
        <f aca="false">'Manatee-Sarasota'!$K$6</f>
        <v>85000</v>
      </c>
      <c r="F6" s="20" t="n">
        <f aca="false">C6*(1-B6)</f>
        <v>420000</v>
      </c>
      <c r="G6" s="21" t="n">
        <f aca="false">IF((1-B6)&gt;0.75,Assumptions!$C$11,IF((1-B6)&gt;0.7,Assumptions!$C$12,Assumptions!$C$13))</f>
        <v>0.0725</v>
      </c>
      <c r="H6" s="20" t="n">
        <f aca="false">PMT(G6/12,Assumptions!$C$14,-F6)</f>
        <v>2865.14037623601</v>
      </c>
      <c r="I6" s="20" t="n">
        <f aca="false">H6+C6*INDEX(Assumptions!$C$28:$C$33,MATCH('Manatee-Sarasota'!$D$6,Assumptions!$B$28:$B$33,0))/12+(Assumptions!$C$19+INDEX(Assumptions!$C$22:$C$25,MATCH('Manatee-Sarasota'!$M$6,Assumptions!$B$22:$B$25,0)))/12+'Manatee-Sarasota'!$O$6</f>
        <v>4315.14037623601</v>
      </c>
      <c r="J6" s="22" t="n">
        <f aca="false">IFERROR(E6/12/I6,0)</f>
        <v>1.64150704629265</v>
      </c>
      <c r="K6" s="22" t="n">
        <f aca="false">IFERROR(E6*Assumptions!$C$18/12/I6,0)</f>
        <v>1.31320563703412</v>
      </c>
      <c r="L6" s="20" t="n">
        <f aca="false">C6*B6+C6*(Assumptions!$C$16-D6)</f>
        <v>145600</v>
      </c>
      <c r="M6" s="20" t="n">
        <f aca="false">E6-(E6*INDEX(Assumptions!$H$36:$H$37,MATCH('Manatee-Sarasota'!$P$6,Assumptions!$B$36:$B$37,0))+Assumptions!$C$40+IF('Manatee-Sarasota'!$N$6="Y",Assumptions!$C$41,Assumptions!$C$42))-I6*12</f>
        <v>-3831.68451483207</v>
      </c>
      <c r="N6" s="20" t="n">
        <f aca="false">M6-E6*INDEX(Assumptions!$C$36:$C$37,MATCH('Manatee-Sarasota'!$P$6,Assumptions!$B$36:$B$37,0))</f>
        <v>-20831.6845148321</v>
      </c>
      <c r="O6" s="14" t="n">
        <f aca="false">IFERROR(M6/L6,0)</f>
        <v>-0.0263165145249455</v>
      </c>
      <c r="P6" s="14" t="n">
        <f aca="false">IFERROR((M6-M5)/(L6-L5),0)</f>
        <v>0.114574552320191</v>
      </c>
    </row>
    <row r="7" customFormat="false" ht="15" hidden="false" customHeight="false" outlineLevel="0" collapsed="false">
      <c r="A7" s="38" t="str">
        <f aca="false">'Manatee-Sarasota'!$B$6</f>
        <v>8404 43rd Ave Terrace W</v>
      </c>
      <c r="B7" s="9" t="n">
        <v>0.3</v>
      </c>
      <c r="C7" s="39" t="n">
        <f aca="false">'Manatee-Sarasota'!$H$6</f>
        <v>560000</v>
      </c>
      <c r="D7" s="19" t="n">
        <f aca="false">'Manatee-Sarasota'!$I$6</f>
        <v>0.03</v>
      </c>
      <c r="E7" s="39" t="n">
        <f aca="false">'Manatee-Sarasota'!$K$6</f>
        <v>85000</v>
      </c>
      <c r="F7" s="20" t="n">
        <f aca="false">C7*(1-B7)</f>
        <v>392000</v>
      </c>
      <c r="G7" s="21" t="n">
        <f aca="false">IF((1-B7)&gt;0.75,Assumptions!$C$11,IF((1-B7)&gt;0.7,Assumptions!$C$12,Assumptions!$C$13))</f>
        <v>0.07125</v>
      </c>
      <c r="H7" s="20" t="n">
        <f aca="false">PMT(G7/12,Assumptions!$C$14,-F7)</f>
        <v>2640.97661134044</v>
      </c>
      <c r="I7" s="20" t="n">
        <f aca="false">H7+C7*INDEX(Assumptions!$C$28:$C$33,MATCH('Manatee-Sarasota'!$D$6,Assumptions!$B$28:$B$33,0))/12+(Assumptions!$C$19+INDEX(Assumptions!$C$22:$C$25,MATCH('Manatee-Sarasota'!$M$6,Assumptions!$B$22:$B$25,0)))/12+'Manatee-Sarasota'!$O$6</f>
        <v>4090.97661134044</v>
      </c>
      <c r="J7" s="22" t="n">
        <f aca="false">IFERROR(E7/12/I7,0)</f>
        <v>1.73145290386112</v>
      </c>
      <c r="K7" s="22" t="n">
        <f aca="false">IFERROR(E7*Assumptions!$C$18/12/I7,0)</f>
        <v>1.3851623230889</v>
      </c>
      <c r="L7" s="20" t="n">
        <f aca="false">C7*B7+C7*(Assumptions!$C$16-D7)</f>
        <v>173600</v>
      </c>
      <c r="M7" s="20" t="n">
        <f aca="false">E7-(E7*INDEX(Assumptions!$H$36:$H$37,MATCH('Manatee-Sarasota'!$P$6,Assumptions!$B$36:$B$37,0))+Assumptions!$C$40+IF('Manatee-Sarasota'!$N$6="Y",Assumptions!$C$41,Assumptions!$C$42))-I7*12</f>
        <v>-1141.71933608533</v>
      </c>
      <c r="N7" s="20" t="n">
        <f aca="false">M7-E7*INDEX(Assumptions!$C$36:$C$37,MATCH('Manatee-Sarasota'!$P$6,Assumptions!$B$36:$B$37,0))</f>
        <v>-18141.7193360853</v>
      </c>
      <c r="O7" s="14" t="n">
        <f aca="false">IFERROR(M7/L7,0)</f>
        <v>-0.00657672428620584</v>
      </c>
      <c r="P7" s="14" t="n">
        <f aca="false">IFERROR((M7-M6)/(L7-L6),0)</f>
        <v>0.0960701849552406</v>
      </c>
    </row>
    <row r="9" customFormat="false" ht="15" hidden="false" customHeight="false" outlineLevel="0" collapsed="false">
      <c r="A9" s="38" t="str">
        <f aca="false">'Manatee-Sarasota'!$B$7</f>
        <v>5318 17th St W (duplex)</v>
      </c>
      <c r="B9" s="9" t="n">
        <v>0.2</v>
      </c>
      <c r="C9" s="39" t="n">
        <f aca="false">'Manatee-Sarasota'!$H$7</f>
        <v>460000</v>
      </c>
      <c r="D9" s="19" t="n">
        <f aca="false">'Manatee-Sarasota'!$I$7</f>
        <v>0</v>
      </c>
      <c r="E9" s="39" t="n">
        <f aca="false">'Manatee-Sarasota'!$K$7</f>
        <v>73000</v>
      </c>
      <c r="F9" s="20" t="n">
        <f aca="false">C9*(1-B9)</f>
        <v>368000</v>
      </c>
      <c r="G9" s="21" t="n">
        <f aca="false">IF((1-B9)&gt;0.75,Assumptions!$C$11,IF((1-B9)&gt;0.7,Assumptions!$C$12,Assumptions!$C$13))</f>
        <v>0.075</v>
      </c>
      <c r="H9" s="20" t="n">
        <f aca="false">PMT(G9/12,Assumptions!$C$14,-F9)</f>
        <v>2573.10939147423</v>
      </c>
      <c r="I9" s="20" t="n">
        <f aca="false">H9+C9*INDEX(Assumptions!$C$28:$C$33,MATCH('Manatee-Sarasota'!$D$7,Assumptions!$B$28:$B$33,0))/12+(Assumptions!$C$19+INDEX(Assumptions!$C$22:$C$25,MATCH('Manatee-Sarasota'!$M$7,Assumptions!$B$22:$B$25,0)))/12+'Manatee-Sarasota'!$O$7</f>
        <v>3898.10939147423</v>
      </c>
      <c r="J9" s="22" t="n">
        <f aca="false">IFERROR(E9/12/I9,0)</f>
        <v>1.56058558711526</v>
      </c>
      <c r="K9" s="22" t="n">
        <f aca="false">IFERROR(E9*Assumptions!$C$18/12/I9,0)</f>
        <v>1.24846846969221</v>
      </c>
      <c r="L9" s="20" t="n">
        <f aca="false">C9*B9+C9*(Assumptions!$C$16-D9)</f>
        <v>110400</v>
      </c>
      <c r="M9" s="20" t="n">
        <f aca="false">E9-(E9*INDEX(Assumptions!$H$36:$H$37,MATCH('Manatee-Sarasota'!$P$7,Assumptions!$B$36:$B$37,0))+Assumptions!$C$40+IF('Manatee-Sarasota'!$N$7="Y",Assumptions!$C$41,Assumptions!$C$42))-I9*12</f>
        <v>-5067.31269769074</v>
      </c>
      <c r="N9" s="20" t="n">
        <f aca="false">M9-E9*INDEX(Assumptions!$C$36:$C$37,MATCH('Manatee-Sarasota'!$P$7,Assumptions!$B$36:$B$37,0))</f>
        <v>-19667.3126976907</v>
      </c>
      <c r="O9" s="14" t="n">
        <f aca="false">IFERROR(M9/L9,0)</f>
        <v>-0.0458995715370538</v>
      </c>
      <c r="P9" s="40" t="s">
        <v>218</v>
      </c>
    </row>
    <row r="10" customFormat="false" ht="15" hidden="false" customHeight="false" outlineLevel="0" collapsed="false">
      <c r="A10" s="38" t="str">
        <f aca="false">'Manatee-Sarasota'!$B$7</f>
        <v>5318 17th St W (duplex)</v>
      </c>
      <c r="B10" s="9" t="n">
        <v>0.25</v>
      </c>
      <c r="C10" s="39" t="n">
        <f aca="false">'Manatee-Sarasota'!$H$7</f>
        <v>460000</v>
      </c>
      <c r="D10" s="19" t="n">
        <f aca="false">'Manatee-Sarasota'!$I$7</f>
        <v>0</v>
      </c>
      <c r="E10" s="39" t="n">
        <f aca="false">'Manatee-Sarasota'!$K$7</f>
        <v>73000</v>
      </c>
      <c r="F10" s="20" t="n">
        <f aca="false">C10*(1-B10)</f>
        <v>345000</v>
      </c>
      <c r="G10" s="21" t="n">
        <f aca="false">IF((1-B10)&gt;0.75,Assumptions!$C$11,IF((1-B10)&gt;0.7,Assumptions!$C$12,Assumptions!$C$13))</f>
        <v>0.0725</v>
      </c>
      <c r="H10" s="20" t="n">
        <f aca="false">PMT(G10/12,Assumptions!$C$14,-F10)</f>
        <v>2353.50816619386</v>
      </c>
      <c r="I10" s="20" t="n">
        <f aca="false">H10+C10*INDEX(Assumptions!$C$28:$C$33,MATCH('Manatee-Sarasota'!$D$7,Assumptions!$B$28:$B$33,0))/12+(Assumptions!$C$19+INDEX(Assumptions!$C$22:$C$25,MATCH('Manatee-Sarasota'!$M$7,Assumptions!$B$22:$B$25,0)))/12+'Manatee-Sarasota'!$O$7</f>
        <v>3678.50816619386</v>
      </c>
      <c r="J10" s="22" t="n">
        <f aca="false">IFERROR(E10/12/I10,0)</f>
        <v>1.65375012328102</v>
      </c>
      <c r="K10" s="22" t="n">
        <f aca="false">IFERROR(E10*Assumptions!$C$18/12/I10,0)</f>
        <v>1.32300009862482</v>
      </c>
      <c r="L10" s="20" t="n">
        <f aca="false">C10*B10+C10*(Assumptions!$C$16-D10)</f>
        <v>133400</v>
      </c>
      <c r="M10" s="20" t="n">
        <f aca="false">E10-(E10*INDEX(Assumptions!$H$36:$H$37,MATCH('Manatee-Sarasota'!$P$7,Assumptions!$B$36:$B$37,0))+Assumptions!$C$40+IF('Manatee-Sarasota'!$N$7="Y",Assumptions!$C$41,Assumptions!$C$42))-I10*12</f>
        <v>-2432.09799432634</v>
      </c>
      <c r="N10" s="20" t="n">
        <f aca="false">M10-E10*INDEX(Assumptions!$C$36:$C$37,MATCH('Manatee-Sarasota'!$P$7,Assumptions!$B$36:$B$37,0))</f>
        <v>-17032.0979943263</v>
      </c>
      <c r="O10" s="14" t="n">
        <f aca="false">IFERROR(M10/L10,0)</f>
        <v>-0.0182316191478737</v>
      </c>
      <c r="P10" s="14" t="n">
        <f aca="false">IFERROR((M10-M9)/(L10-L9),0)</f>
        <v>0.114574552320191</v>
      </c>
    </row>
    <row r="11" customFormat="false" ht="15" hidden="false" customHeight="false" outlineLevel="0" collapsed="false">
      <c r="A11" s="38" t="str">
        <f aca="false">'Manatee-Sarasota'!$B$7</f>
        <v>5318 17th St W (duplex)</v>
      </c>
      <c r="B11" s="9" t="n">
        <v>0.3</v>
      </c>
      <c r="C11" s="39" t="n">
        <f aca="false">'Manatee-Sarasota'!$H$7</f>
        <v>460000</v>
      </c>
      <c r="D11" s="19" t="n">
        <f aca="false">'Manatee-Sarasota'!$I$7</f>
        <v>0</v>
      </c>
      <c r="E11" s="39" t="n">
        <f aca="false">'Manatee-Sarasota'!$K$7</f>
        <v>73000</v>
      </c>
      <c r="F11" s="20" t="n">
        <f aca="false">C11*(1-B11)</f>
        <v>322000</v>
      </c>
      <c r="G11" s="21" t="n">
        <f aca="false">IF((1-B11)&gt;0.75,Assumptions!$C$11,IF((1-B11)&gt;0.7,Assumptions!$C$12,Assumptions!$C$13))</f>
        <v>0.07125</v>
      </c>
      <c r="H11" s="20" t="n">
        <f aca="false">PMT(G11/12,Assumptions!$C$14,-F11)</f>
        <v>2169.37364502965</v>
      </c>
      <c r="I11" s="20" t="n">
        <f aca="false">H11+C11*INDEX(Assumptions!$C$28:$C$33,MATCH('Manatee-Sarasota'!$D$7,Assumptions!$B$28:$B$33,0))/12+(Assumptions!$C$19+INDEX(Assumptions!$C$22:$C$25,MATCH('Manatee-Sarasota'!$M$7,Assumptions!$B$22:$B$25,0)))/12+'Manatee-Sarasota'!$O$7</f>
        <v>3494.37364502965</v>
      </c>
      <c r="J11" s="22" t="n">
        <f aca="false">IFERROR(E11/12/I11,0)</f>
        <v>1.74089377705392</v>
      </c>
      <c r="K11" s="22" t="n">
        <f aca="false">IFERROR(E11*Assumptions!$C$18/12/I11,0)</f>
        <v>1.39271502164313</v>
      </c>
      <c r="L11" s="20" t="n">
        <f aca="false">C11*B11+C11*(Assumptions!$C$16-D11)</f>
        <v>156400</v>
      </c>
      <c r="M11" s="20" t="n">
        <f aca="false">E11-(E11*INDEX(Assumptions!$H$36:$H$37,MATCH('Manatee-Sarasota'!$P$7,Assumptions!$B$36:$B$37,0))+Assumptions!$C$40+IF('Manatee-Sarasota'!$N$7="Y",Assumptions!$C$41,Assumptions!$C$42))-I11*12</f>
        <v>-222.483740355812</v>
      </c>
      <c r="N11" s="20" t="n">
        <f aca="false">M11-E11*INDEX(Assumptions!$C$36:$C$37,MATCH('Manatee-Sarasota'!$P$7,Assumptions!$B$36:$B$37,0))</f>
        <v>-14822.4837403558</v>
      </c>
      <c r="O11" s="14" t="n">
        <f aca="false">IFERROR(M11/L11,0)</f>
        <v>-0.00142253030918038</v>
      </c>
      <c r="P11" s="14" t="n">
        <f aca="false">IFERROR((M11-M10)/(L11-L10),0)</f>
        <v>0.0960701849552405</v>
      </c>
    </row>
    <row r="13" customFormat="false" ht="15" hidden="false" customHeight="false" outlineLevel="0" collapsed="false">
      <c r="A13" s="38" t="str">
        <f aca="false">'Manatee-Sarasota'!$B$8</f>
        <v>2801 23rd Ave W ("Beachin' Escape")</v>
      </c>
      <c r="B13" s="9" t="n">
        <v>0.2</v>
      </c>
      <c r="C13" s="39" t="n">
        <f aca="false">'Manatee-Sarasota'!$H$8</f>
        <v>600000</v>
      </c>
      <c r="D13" s="19" t="n">
        <f aca="false">'Manatee-Sarasota'!$I$8</f>
        <v>0.03</v>
      </c>
      <c r="E13" s="39" t="n">
        <f aca="false">'Manatee-Sarasota'!$K$8</f>
        <v>89000</v>
      </c>
      <c r="F13" s="20" t="n">
        <f aca="false">C13*(1-B13)</f>
        <v>480000</v>
      </c>
      <c r="G13" s="21" t="n">
        <f aca="false">IF((1-B13)&gt;0.75,Assumptions!$C$11,IF((1-B13)&gt;0.7,Assumptions!$C$12,Assumptions!$C$13))</f>
        <v>0.075</v>
      </c>
      <c r="H13" s="20" t="n">
        <f aca="false">PMT(G13/12,Assumptions!$C$14,-F13)</f>
        <v>3356.22964105334</v>
      </c>
      <c r="I13" s="20" t="n">
        <f aca="false">H13+C13*INDEX(Assumptions!$C$28:$C$33,MATCH('Manatee-Sarasota'!$D$8,Assumptions!$B$28:$B$33,0))/12+(Assumptions!$C$19+INDEX(Assumptions!$C$22:$C$25,MATCH('Manatee-Sarasota'!$M$8,Assumptions!$B$22:$B$25,0)))/12+'Manatee-Sarasota'!$O$8</f>
        <v>4856.22964105334</v>
      </c>
      <c r="J13" s="22" t="n">
        <f aca="false">IFERROR(E13/12/I13,0)</f>
        <v>1.52724792995126</v>
      </c>
      <c r="K13" s="22" t="n">
        <f aca="false">IFERROR(E13*Assumptions!$C$18/12/I13,0)</f>
        <v>1.22179834396101</v>
      </c>
      <c r="L13" s="20" t="n">
        <f aca="false">C13*B13+C13*(Assumptions!$C$16-D13)</f>
        <v>126000</v>
      </c>
      <c r="M13" s="20" t="n">
        <f aca="false">E13-(E13*INDEX(Assumptions!$H$36:$H$37,MATCH('Manatee-Sarasota'!$P$8,Assumptions!$B$36:$B$37,0))+Assumptions!$C$40+IF('Manatee-Sarasota'!$N$8="Y",Assumptions!$C$41,Assumptions!$C$42))-I13*12</f>
        <v>-7644.75569264008</v>
      </c>
      <c r="N13" s="20" t="n">
        <f aca="false">M13-E13*INDEX(Assumptions!$C$36:$C$37,MATCH('Manatee-Sarasota'!$P$8,Assumptions!$B$36:$B$37,0))</f>
        <v>-25444.7556926401</v>
      </c>
      <c r="O13" s="14" t="n">
        <f aca="false">IFERROR(M13/L13,0)</f>
        <v>-0.0606726642273022</v>
      </c>
      <c r="P13" s="40" t="s">
        <v>218</v>
      </c>
    </row>
    <row r="14" customFormat="false" ht="15" hidden="false" customHeight="false" outlineLevel="0" collapsed="false">
      <c r="A14" s="38" t="str">
        <f aca="false">'Manatee-Sarasota'!$B$8</f>
        <v>2801 23rd Ave W ("Beachin' Escape")</v>
      </c>
      <c r="B14" s="9" t="n">
        <v>0.25</v>
      </c>
      <c r="C14" s="39" t="n">
        <f aca="false">'Manatee-Sarasota'!$H$8</f>
        <v>600000</v>
      </c>
      <c r="D14" s="19" t="n">
        <f aca="false">'Manatee-Sarasota'!$I$8</f>
        <v>0.03</v>
      </c>
      <c r="E14" s="39" t="n">
        <f aca="false">'Manatee-Sarasota'!$K$8</f>
        <v>89000</v>
      </c>
      <c r="F14" s="20" t="n">
        <f aca="false">C14*(1-B14)</f>
        <v>450000</v>
      </c>
      <c r="G14" s="21" t="n">
        <f aca="false">IF((1-B14)&gt;0.75,Assumptions!$C$11,IF((1-B14)&gt;0.7,Assumptions!$C$12,Assumptions!$C$13))</f>
        <v>0.0725</v>
      </c>
      <c r="H14" s="20" t="n">
        <f aca="false">PMT(G14/12,Assumptions!$C$14,-F14)</f>
        <v>3069.79326025286</v>
      </c>
      <c r="I14" s="20" t="n">
        <f aca="false">H14+C14*INDEX(Assumptions!$C$28:$C$33,MATCH('Manatee-Sarasota'!$D$8,Assumptions!$B$28:$B$33,0))/12+(Assumptions!$C$19+INDEX(Assumptions!$C$22:$C$25,MATCH('Manatee-Sarasota'!$M$8,Assumptions!$B$22:$B$25,0)))/12+'Manatee-Sarasota'!$O$8</f>
        <v>4569.79326025286</v>
      </c>
      <c r="J14" s="22" t="n">
        <f aca="false">IFERROR(E14/12/I14,0)</f>
        <v>1.62297641146599</v>
      </c>
      <c r="K14" s="22" t="n">
        <f aca="false">IFERROR(E14*Assumptions!$C$18/12/I14,0)</f>
        <v>1.29838112917279</v>
      </c>
      <c r="L14" s="20" t="n">
        <f aca="false">C14*B14+C14*(Assumptions!$C$16-D14)</f>
        <v>156000</v>
      </c>
      <c r="M14" s="20" t="n">
        <f aca="false">E14-(E14*INDEX(Assumptions!$H$36:$H$37,MATCH('Manatee-Sarasota'!$P$8,Assumptions!$B$36:$B$37,0))+Assumptions!$C$40+IF('Manatee-Sarasota'!$N$8="Y",Assumptions!$C$41,Assumptions!$C$42))-I14*12</f>
        <v>-4207.51912303436</v>
      </c>
      <c r="N14" s="20" t="n">
        <f aca="false">M14-E14*INDEX(Assumptions!$C$36:$C$37,MATCH('Manatee-Sarasota'!$P$8,Assumptions!$B$36:$B$37,0))</f>
        <v>-22007.5191230344</v>
      </c>
      <c r="O14" s="14" t="n">
        <f aca="false">IFERROR(M14/L14,0)</f>
        <v>-0.0269712764297075</v>
      </c>
      <c r="P14" s="14" t="n">
        <f aca="false">IFERROR((M14-M13)/(L14-L13),0)</f>
        <v>0.114574552320191</v>
      </c>
    </row>
    <row r="15" customFormat="false" ht="15" hidden="false" customHeight="false" outlineLevel="0" collapsed="false">
      <c r="A15" s="38" t="str">
        <f aca="false">'Manatee-Sarasota'!$B$8</f>
        <v>2801 23rd Ave W ("Beachin' Escape")</v>
      </c>
      <c r="B15" s="9" t="n">
        <v>0.3</v>
      </c>
      <c r="C15" s="39" t="n">
        <f aca="false">'Manatee-Sarasota'!$H$8</f>
        <v>600000</v>
      </c>
      <c r="D15" s="19" t="n">
        <f aca="false">'Manatee-Sarasota'!$I$8</f>
        <v>0.03</v>
      </c>
      <c r="E15" s="39" t="n">
        <f aca="false">'Manatee-Sarasota'!$K$8</f>
        <v>89000</v>
      </c>
      <c r="F15" s="20" t="n">
        <f aca="false">C15*(1-B15)</f>
        <v>420000</v>
      </c>
      <c r="G15" s="21" t="n">
        <f aca="false">IF((1-B15)&gt;0.75,Assumptions!$C$11,IF((1-B15)&gt;0.7,Assumptions!$C$12,Assumptions!$C$13))</f>
        <v>0.07125</v>
      </c>
      <c r="H15" s="20" t="n">
        <f aca="false">PMT(G15/12,Assumptions!$C$14,-F15)</f>
        <v>2829.61779786476</v>
      </c>
      <c r="I15" s="20" t="n">
        <f aca="false">H15+C15*INDEX(Assumptions!$C$28:$C$33,MATCH('Manatee-Sarasota'!$D$8,Assumptions!$B$28:$B$33,0))/12+(Assumptions!$C$19+INDEX(Assumptions!$C$22:$C$25,MATCH('Manatee-Sarasota'!$M$8,Assumptions!$B$22:$B$25,0)))/12+'Manatee-Sarasota'!$O$8</f>
        <v>4329.61779786476</v>
      </c>
      <c r="J15" s="22" t="n">
        <f aca="false">IFERROR(E15/12/I15,0)</f>
        <v>1.71300724750447</v>
      </c>
      <c r="K15" s="22" t="n">
        <f aca="false">IFERROR(E15*Assumptions!$C$18/12/I15,0)</f>
        <v>1.37040579800357</v>
      </c>
      <c r="L15" s="20" t="n">
        <f aca="false">C15*B15+C15*(Assumptions!$C$16-D15)</f>
        <v>186000</v>
      </c>
      <c r="M15" s="20" t="n">
        <f aca="false">E15-(E15*INDEX(Assumptions!$H$36:$H$37,MATCH('Manatee-Sarasota'!$P$8,Assumptions!$B$36:$B$37,0))+Assumptions!$C$40+IF('Manatee-Sarasota'!$N$8="Y",Assumptions!$C$41,Assumptions!$C$42))-I15*12</f>
        <v>-1325.41357437715</v>
      </c>
      <c r="N15" s="20" t="n">
        <f aca="false">M15-E15*INDEX(Assumptions!$C$36:$C$37,MATCH('Manatee-Sarasota'!$P$8,Assumptions!$B$36:$B$37,0))</f>
        <v>-19125.4135743771</v>
      </c>
      <c r="O15" s="14" t="n">
        <f aca="false">IFERROR(M15/L15,0)</f>
        <v>-0.0071258794321352</v>
      </c>
      <c r="P15" s="14" t="n">
        <f aca="false">IFERROR((M15-M14)/(L15-L14),0)</f>
        <v>0.0960701849552405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31.5" hidden="false" customHeight="true" outlineLevel="0" collapsed="false">
      <c r="A4" s="13" t="s">
        <v>77</v>
      </c>
      <c r="B4" s="13" t="s">
        <v>221</v>
      </c>
      <c r="C4" s="13" t="s">
        <v>222</v>
      </c>
      <c r="D4" s="13" t="s">
        <v>223</v>
      </c>
      <c r="E4" s="13" t="s">
        <v>224</v>
      </c>
      <c r="F4" s="13" t="s">
        <v>225</v>
      </c>
      <c r="G4" s="13" t="s">
        <v>226</v>
      </c>
    </row>
    <row r="5" customFormat="false" ht="23.85" hidden="false" customHeight="false" outlineLevel="0" collapsed="false">
      <c r="A5" s="41" t="s">
        <v>43</v>
      </c>
      <c r="B5" s="41" t="s">
        <v>227</v>
      </c>
      <c r="C5" s="41" t="s">
        <v>228</v>
      </c>
      <c r="D5" s="41" t="s">
        <v>229</v>
      </c>
      <c r="E5" s="41" t="s">
        <v>230</v>
      </c>
      <c r="F5" s="41" t="s">
        <v>231</v>
      </c>
      <c r="G5" s="41" t="s">
        <v>232</v>
      </c>
    </row>
    <row r="6" customFormat="false" ht="23.85" hidden="false" customHeight="false" outlineLevel="0" collapsed="false">
      <c r="A6" s="42" t="s">
        <v>43</v>
      </c>
      <c r="B6" s="42" t="s">
        <v>233</v>
      </c>
      <c r="C6" s="42" t="s">
        <v>234</v>
      </c>
      <c r="D6" s="42" t="s">
        <v>235</v>
      </c>
      <c r="E6" s="42" t="s">
        <v>236</v>
      </c>
      <c r="F6" s="42" t="s">
        <v>237</v>
      </c>
      <c r="G6" s="42" t="s">
        <v>238</v>
      </c>
    </row>
    <row r="7" customFormat="false" ht="15" hidden="false" customHeight="false" outlineLevel="0" collapsed="false">
      <c r="A7" s="41" t="s">
        <v>43</v>
      </c>
      <c r="B7" s="41" t="s">
        <v>239</v>
      </c>
      <c r="C7" s="41" t="s">
        <v>234</v>
      </c>
      <c r="D7" s="41" t="s">
        <v>240</v>
      </c>
      <c r="E7" s="41" t="s">
        <v>241</v>
      </c>
      <c r="F7" s="41" t="s">
        <v>242</v>
      </c>
      <c r="G7" s="41" t="s">
        <v>243</v>
      </c>
    </row>
    <row r="8" customFormat="false" ht="23.85" hidden="false" customHeight="false" outlineLevel="0" collapsed="false">
      <c r="A8" s="42" t="s">
        <v>43</v>
      </c>
      <c r="B8" s="42" t="s">
        <v>244</v>
      </c>
      <c r="C8" s="42" t="s">
        <v>245</v>
      </c>
      <c r="D8" s="42" t="s">
        <v>246</v>
      </c>
      <c r="E8" s="42" t="s">
        <v>247</v>
      </c>
      <c r="F8" s="42" t="s">
        <v>248</v>
      </c>
      <c r="G8" s="42" t="s">
        <v>249</v>
      </c>
    </row>
    <row r="9" customFormat="false" ht="23.85" hidden="false" customHeight="false" outlineLevel="0" collapsed="false">
      <c r="A9" s="41" t="s">
        <v>43</v>
      </c>
      <c r="B9" s="41" t="s">
        <v>250</v>
      </c>
      <c r="C9" s="41" t="s">
        <v>251</v>
      </c>
      <c r="D9" s="41" t="s">
        <v>252</v>
      </c>
      <c r="E9" s="41" t="s">
        <v>253</v>
      </c>
      <c r="F9" s="41" t="s">
        <v>237</v>
      </c>
      <c r="G9" s="41" t="s">
        <v>254</v>
      </c>
    </row>
    <row r="10" customFormat="false" ht="23.85" hidden="false" customHeight="false" outlineLevel="0" collapsed="false">
      <c r="A10" s="42" t="s">
        <v>45</v>
      </c>
      <c r="B10" s="42" t="s">
        <v>255</v>
      </c>
      <c r="C10" s="42" t="s">
        <v>256</v>
      </c>
      <c r="D10" s="42" t="s">
        <v>257</v>
      </c>
      <c r="E10" s="42" t="s">
        <v>258</v>
      </c>
      <c r="F10" s="42" t="s">
        <v>259</v>
      </c>
      <c r="G10" s="42" t="s">
        <v>260</v>
      </c>
    </row>
    <row r="11" customFormat="false" ht="35.05" hidden="false" customHeight="false" outlineLevel="0" collapsed="false">
      <c r="A11" s="41" t="s">
        <v>45</v>
      </c>
      <c r="B11" s="41" t="s">
        <v>261</v>
      </c>
      <c r="C11" s="41" t="s">
        <v>262</v>
      </c>
      <c r="D11" s="41" t="s">
        <v>218</v>
      </c>
      <c r="E11" s="41" t="s">
        <v>263</v>
      </c>
      <c r="F11" s="41" t="s">
        <v>264</v>
      </c>
      <c r="G11" s="41" t="s">
        <v>265</v>
      </c>
    </row>
    <row r="12" customFormat="false" ht="23.85" hidden="false" customHeight="false" outlineLevel="0" collapsed="false">
      <c r="A12" s="42" t="s">
        <v>266</v>
      </c>
      <c r="B12" s="42" t="s">
        <v>267</v>
      </c>
      <c r="C12" s="42" t="s">
        <v>268</v>
      </c>
      <c r="D12" s="42" t="s">
        <v>269</v>
      </c>
      <c r="E12" s="42" t="s">
        <v>218</v>
      </c>
      <c r="F12" s="42" t="s">
        <v>270</v>
      </c>
      <c r="G12" s="42" t="s">
        <v>271</v>
      </c>
    </row>
    <row r="13" customFormat="false" ht="35.05" hidden="false" customHeight="false" outlineLevel="0" collapsed="false">
      <c r="A13" s="41" t="s">
        <v>45</v>
      </c>
      <c r="B13" s="41" t="s">
        <v>272</v>
      </c>
      <c r="C13" s="41" t="s">
        <v>273</v>
      </c>
      <c r="D13" s="41" t="s">
        <v>274</v>
      </c>
      <c r="E13" s="41" t="s">
        <v>218</v>
      </c>
      <c r="F13" s="41" t="s">
        <v>275</v>
      </c>
      <c r="G13" s="41" t="s">
        <v>276</v>
      </c>
    </row>
    <row r="14" customFormat="false" ht="15" hidden="false" customHeight="false" outlineLevel="0" collapsed="false">
      <c r="A14" s="42" t="s">
        <v>45</v>
      </c>
      <c r="B14" s="42" t="s">
        <v>277</v>
      </c>
      <c r="C14" s="42" t="s">
        <v>234</v>
      </c>
      <c r="D14" s="42" t="s">
        <v>278</v>
      </c>
      <c r="E14" s="42" t="s">
        <v>218</v>
      </c>
      <c r="F14" s="42" t="s">
        <v>279</v>
      </c>
      <c r="G14" s="42" t="s">
        <v>280</v>
      </c>
    </row>
    <row r="15" customFormat="false" ht="35.05" hidden="false" customHeight="false" outlineLevel="0" collapsed="false">
      <c r="A15" s="41" t="s">
        <v>281</v>
      </c>
      <c r="B15" s="41" t="s">
        <v>282</v>
      </c>
      <c r="C15" s="41" t="s">
        <v>218</v>
      </c>
      <c r="D15" s="41" t="s">
        <v>283</v>
      </c>
      <c r="E15" s="41" t="s">
        <v>218</v>
      </c>
      <c r="F15" s="41" t="s">
        <v>218</v>
      </c>
      <c r="G15" s="41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285</v>
      </c>
    </row>
    <row r="2" customFormat="false" ht="15" hidden="false" customHeight="false" outlineLevel="0" collapsed="false">
      <c r="A2" s="2" t="s">
        <v>286</v>
      </c>
    </row>
    <row r="4" customFormat="false" ht="31.5" hidden="false" customHeight="true" outlineLevel="0" collapsed="false">
      <c r="A4" s="13" t="s">
        <v>287</v>
      </c>
      <c r="B4" s="13" t="s">
        <v>288</v>
      </c>
      <c r="C4" s="13" t="s">
        <v>289</v>
      </c>
    </row>
    <row r="5" customFormat="false" ht="23.85" hidden="false" customHeight="false" outlineLevel="0" collapsed="false">
      <c r="A5" s="17" t="n">
        <v>1</v>
      </c>
      <c r="B5" s="41" t="s">
        <v>290</v>
      </c>
      <c r="C5" s="41" t="s">
        <v>291</v>
      </c>
    </row>
    <row r="6" customFormat="false" ht="15" hidden="false" customHeight="false" outlineLevel="0" collapsed="false">
      <c r="A6" s="27" t="n">
        <v>2</v>
      </c>
      <c r="B6" s="42" t="s">
        <v>292</v>
      </c>
      <c r="C6" s="42" t="s">
        <v>293</v>
      </c>
    </row>
    <row r="7" customFormat="false" ht="15" hidden="false" customHeight="false" outlineLevel="0" collapsed="false">
      <c r="A7" s="17" t="n">
        <v>3</v>
      </c>
      <c r="B7" s="41" t="s">
        <v>294</v>
      </c>
      <c r="C7" s="41" t="s">
        <v>295</v>
      </c>
    </row>
    <row r="8" customFormat="false" ht="15" hidden="false" customHeight="false" outlineLevel="0" collapsed="false">
      <c r="A8" s="27" t="n">
        <v>4</v>
      </c>
      <c r="B8" s="42" t="s">
        <v>296</v>
      </c>
      <c r="C8" s="42" t="s">
        <v>297</v>
      </c>
    </row>
    <row r="9" customFormat="false" ht="15" hidden="false" customHeight="false" outlineLevel="0" collapsed="false">
      <c r="A9" s="17" t="n">
        <v>5</v>
      </c>
      <c r="B9" s="41" t="s">
        <v>298</v>
      </c>
      <c r="C9" s="41" t="s">
        <v>299</v>
      </c>
    </row>
    <row r="10" customFormat="false" ht="15" hidden="false" customHeight="false" outlineLevel="0" collapsed="false">
      <c r="A10" s="27" t="n">
        <v>6</v>
      </c>
      <c r="B10" s="42" t="s">
        <v>300</v>
      </c>
      <c r="C10" s="42" t="s">
        <v>301</v>
      </c>
    </row>
    <row r="11" customFormat="false" ht="15" hidden="false" customHeight="false" outlineLevel="0" collapsed="false">
      <c r="A11" s="17" t="n">
        <v>7</v>
      </c>
      <c r="B11" s="41" t="s">
        <v>302</v>
      </c>
      <c r="C11" s="41" t="s">
        <v>303</v>
      </c>
    </row>
    <row r="12" customFormat="false" ht="15" hidden="false" customHeight="false" outlineLevel="0" collapsed="false">
      <c r="A12" s="27" t="n">
        <v>8</v>
      </c>
      <c r="B12" s="42" t="s">
        <v>304</v>
      </c>
      <c r="C12" s="42" t="s">
        <v>305</v>
      </c>
    </row>
    <row r="13" customFormat="false" ht="15" hidden="false" customHeight="false" outlineLevel="0" collapsed="false">
      <c r="A13" s="17" t="n">
        <v>9</v>
      </c>
      <c r="B13" s="41" t="s">
        <v>306</v>
      </c>
      <c r="C13" s="41" t="s">
        <v>307</v>
      </c>
    </row>
    <row r="14" customFormat="false" ht="15" hidden="false" customHeight="false" outlineLevel="0" collapsed="false">
      <c r="A14" s="27" t="n">
        <v>10</v>
      </c>
      <c r="B14" s="42" t="s">
        <v>308</v>
      </c>
      <c r="C14" s="42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310</v>
      </c>
    </row>
    <row r="2" customFormat="false" ht="15" hidden="false" customHeight="false" outlineLevel="0" collapsed="false">
      <c r="A2" s="2" t="s">
        <v>311</v>
      </c>
    </row>
    <row r="4" customFormat="false" ht="31.5" hidden="false" customHeight="true" outlineLevel="0" collapsed="false">
      <c r="A4" s="13" t="s">
        <v>312</v>
      </c>
      <c r="B4" s="13" t="s">
        <v>313</v>
      </c>
      <c r="C4" s="13" t="s">
        <v>314</v>
      </c>
    </row>
    <row r="5" customFormat="false" ht="23.85" hidden="false" customHeight="false" outlineLevel="0" collapsed="false">
      <c r="A5" s="41" t="s">
        <v>315</v>
      </c>
      <c r="B5" s="41" t="s">
        <v>316</v>
      </c>
      <c r="C5" s="25" t="s">
        <v>186</v>
      </c>
    </row>
    <row r="6" customFormat="false" ht="15" hidden="false" customHeight="false" outlineLevel="0" collapsed="false">
      <c r="A6" s="42" t="s">
        <v>315</v>
      </c>
      <c r="B6" s="42" t="s">
        <v>317</v>
      </c>
      <c r="C6" s="25" t="s">
        <v>186</v>
      </c>
    </row>
    <row r="7" customFormat="false" ht="15" hidden="false" customHeight="false" outlineLevel="0" collapsed="false">
      <c r="A7" s="41" t="s">
        <v>318</v>
      </c>
      <c r="B7" s="41" t="s">
        <v>319</v>
      </c>
      <c r="C7" s="25" t="s">
        <v>186</v>
      </c>
    </row>
    <row r="8" customFormat="false" ht="15" hidden="false" customHeight="false" outlineLevel="0" collapsed="false">
      <c r="A8" s="42" t="s">
        <v>320</v>
      </c>
      <c r="B8" s="42" t="s">
        <v>321</v>
      </c>
      <c r="C8" s="25" t="s">
        <v>186</v>
      </c>
    </row>
    <row r="9" customFormat="false" ht="15" hidden="false" customHeight="false" outlineLevel="0" collapsed="false">
      <c r="A9" s="41" t="s">
        <v>320</v>
      </c>
      <c r="B9" s="41" t="s">
        <v>322</v>
      </c>
      <c r="C9" s="25" t="s">
        <v>186</v>
      </c>
    </row>
    <row r="10" customFormat="false" ht="15" hidden="false" customHeight="false" outlineLevel="0" collapsed="false">
      <c r="A10" s="42" t="s">
        <v>323</v>
      </c>
      <c r="B10" s="42" t="s">
        <v>324</v>
      </c>
      <c r="C10" s="25" t="s">
        <v>186</v>
      </c>
    </row>
    <row r="11" customFormat="false" ht="15" hidden="false" customHeight="false" outlineLevel="0" collapsed="false">
      <c r="A11" s="41" t="s">
        <v>323</v>
      </c>
      <c r="B11" s="41" t="s">
        <v>325</v>
      </c>
      <c r="C11" s="25" t="s">
        <v>186</v>
      </c>
    </row>
    <row r="12" customFormat="false" ht="15" hidden="false" customHeight="false" outlineLevel="0" collapsed="false">
      <c r="A12" s="42" t="s">
        <v>326</v>
      </c>
      <c r="B12" s="42" t="s">
        <v>327</v>
      </c>
      <c r="C12" s="25" t="s">
        <v>186</v>
      </c>
    </row>
    <row r="13" customFormat="false" ht="15" hidden="false" customHeight="false" outlineLevel="0" collapsed="false">
      <c r="A13" s="41" t="s">
        <v>328</v>
      </c>
      <c r="B13" s="41" t="s">
        <v>329</v>
      </c>
      <c r="C13" s="25" t="s">
        <v>186</v>
      </c>
    </row>
    <row r="14" customFormat="false" ht="15" hidden="false" customHeight="false" outlineLevel="0" collapsed="false">
      <c r="A14" s="42" t="s">
        <v>330</v>
      </c>
      <c r="B14" s="42" t="s">
        <v>331</v>
      </c>
      <c r="C14" s="25" t="s">
        <v>186</v>
      </c>
    </row>
    <row r="15" customFormat="false" ht="15" hidden="false" customHeight="false" outlineLevel="0" collapsed="false">
      <c r="A15" s="41" t="s">
        <v>332</v>
      </c>
      <c r="B15" s="41" t="s">
        <v>333</v>
      </c>
      <c r="C15" s="25" t="s">
        <v>186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2026-10-18T23:30:08Z</dcterms:created>
  <dc:creator>openpyxl</dc:creator>
  <dc:description/>
  <dc:language>en-US</dc:language>
  <cp:lastModifiedBy/>
  <dcterms:modified xsi:type="dcterms:W3CDTF">2026-10-18T23:30:08Z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