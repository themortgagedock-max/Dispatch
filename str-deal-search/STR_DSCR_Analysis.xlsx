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Manatee-Sarasota" sheetId="3" state="visible" r:id="rId5"/>
    <sheet name="Pinellas" sheetId="4" state="visible" r:id="rId6"/>
    <sheet name="Other SWFL Listings" sheetId="5" state="visible" r:id="rId7"/>
    <sheet name="Down Pmt Scenarios" sheetId="6" state="visible" r:id="rId8"/>
    <sheet name="Other SWFL Markets" sheetId="7" state="visible" r:id="rId9"/>
    <sheet name="STR Rules" sheetId="8" state="visible" r:id="rId10"/>
    <sheet name="Diligence Checklist" sheetId="9" state="visible" r:id="rId11"/>
    <sheet name="Sourc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7" authorId="0">
      <text>
        <r>
          <rPr>
            <sz val="10"/>
            <rFont val="Arial"/>
            <family val="2"/>
          </rPr>
          <t xml:space="preserve">$53k STR (2025, partial owner use) + ~$20k/yr LTR est. from 2026 rental listings ($1,700-2,100/mo).</t>
        </r>
      </text>
    </comment>
    <comment ref="K10" authorId="0">
      <text>
        <r>
          <rPr>
            <sz val="10"/>
            <rFont val="Arial"/>
            <family val="2"/>
          </rPr>
          <t xml:space="preserve">$45.2k YTD through ~Sep annualized for SWFL seasonality (~80% of year) -&gt; ~$54k.</t>
        </r>
      </text>
    </comment>
    <comment ref="K11" authorId="0">
      <text>
        <r>
          <rPr>
            <sz val="10"/>
            <rFont val="Arial"/>
            <family val="2"/>
          </rPr>
          <t xml:space="preserve">$53k YTD bookings (Aug) annualized conservatively to ~$60k; bookings may include future stays.</t>
        </r>
      </text>
    </comment>
    <comment ref="K16" authorId="0">
      <text>
        <r>
          <rPr>
            <sz val="10"/>
            <rFont val="Arial"/>
            <family val="2"/>
          </rPr>
          <t xml:space="preserve">Jan-Jun $29.3k (peak half) annualized to ~$44k: verify T12.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Listing calls the $71k 'estimated': require T12 platform payouts before relying on it.</t>
        </r>
      </text>
    </comment>
    <comment ref="K7" authorId="0">
      <text>
        <r>
          <rPr>
            <sz val="10"/>
            <rFont val="Arial"/>
            <family val="2"/>
          </rPr>
          <t xml:space="preserve">Run-rate for first year (&lt;12 months actual): most DSCR lenders need 12 months or will use AirDNA x 70-80%.</t>
        </r>
      </text>
    </comment>
    <comment ref="K11" authorId="0">
      <text>
        <r>
          <rPr>
            <sz val="10"/>
            <rFont val="Arial"/>
            <family val="2"/>
          </rPr>
          <t xml:space="preserve">2027 forward bookings used as annual gross; no trailing-12 figure.</t>
        </r>
      </text>
    </comment>
  </commentList>
</comments>
</file>

<file path=xl/sharedStrings.xml><?xml version="1.0" encoding="utf-8"?>
<sst xmlns="http://schemas.openxmlformats.org/spreadsheetml/2006/main" count="1153" uniqueCount="707">
  <si>
    <t xml:space="preserve">STR DSCR Search: Summary of Top Picks</t>
  </si>
  <si>
    <t xml:space="preserve">As of 2026-10-18. Every number below is a live link (green) to the market tabs; change inputs there or on Assumptions.</t>
  </si>
  <si>
    <t xml:space="preserve">Market Tab</t>
  </si>
  <si>
    <t xml:space="preserve">Address</t>
  </si>
  <si>
    <t xml:space="preserve">City / ZIP</t>
  </si>
  <si>
    <t xml:space="preserve">Offer Price</t>
  </si>
  <si>
    <t xml:space="preserve">Stated Gross ($/yr)</t>
  </si>
  <si>
    <t xml:space="preserve">PITIA ($/mo)</t>
  </si>
  <si>
    <t xml:space="preserve">DSCR (gross)</t>
  </si>
  <si>
    <t xml:space="preserve">DSCR (lender haircut)</t>
  </si>
  <si>
    <t xml:space="preserve">Cash to Close</t>
  </si>
  <si>
    <t xml:space="preserve">Cash Flow Self-Managed ($/yr)</t>
  </si>
  <si>
    <t xml:space="preserve">Cash Flow Full PM ($/yr)</t>
  </si>
  <si>
    <t xml:space="preserve">Verdict</t>
  </si>
  <si>
    <t xml:space="preserve">Manatee-Sarasota</t>
  </si>
  <si>
    <t xml:space="preserve">#1 OVERALL: write it. Verify FEMA zone, T12 payouts, appraisal.</t>
  </si>
  <si>
    <t xml:space="preserve">Backup: cheapest, STR + LTR hedge. Confirm legal duplex.</t>
  </si>
  <si>
    <t xml:space="preserve">Best income record; appraisal + sq-ft risk. Aggressive offer only.</t>
  </si>
  <si>
    <t xml:space="preserve">Pinellas</t>
  </si>
  <si>
    <t xml:space="preserve">Best Pinellas: licensed since 2022. 'Estimated' $71k: get T12. Confirm Seminole license transfers.</t>
  </si>
  <si>
    <t xml:space="preserve">Highest yield, but &lt;12 months history + jurisdiction (St. Pete vs Lealman) unconfirmed.</t>
  </si>
  <si>
    <t xml:space="preserve">Cheap Largo STR; history is pre-hurricane. Negotiable (257 DOM).</t>
  </si>
  <si>
    <t xml:space="preserve">Other SWFL Listings</t>
  </si>
  <si>
    <t xml:space="preserve">Only SWFL listing that clears after haircut; inland NW Cape, check utility assessment.</t>
  </si>
  <si>
    <t xml:space="preserve">Key takeaways</t>
  </si>
  <si>
    <t xml:space="preserve">- Buyer: 800 FICO, $150k earmarked + $550k brokerage + $60k checking. Recommended structure: 25% down, 3% seller credit to rate buydown.</t>
  </si>
  <si>
    <t xml:space="preserve">- Rates are placeholders (7.50 / 7.25 / 7.125% by LTV tier): overwrite on the Assumptions tab and every tab reflows.</t>
  </si>
  <si>
    <t xml:space="preserve">- Cash flow is conservative (10% platform + 10% cleaning on top of seller gross). A co-host at 10-15% is what makes these work; full-service PM does not cash flow at today's rates.</t>
  </si>
  <si>
    <t xml:space="preserve">- Pinellas: nightly SFH STRs are legal mainly in unincorporated county (Certificate of Use), Largo, Indian Rocks Beach, Redington Beach. St. Pete, St. Pete Beach, Clearwater residential, Gulfport, Dunedin = 30-day+.</t>
  </si>
  <si>
    <t xml:space="preserve">- Other SWFL: Cape Coral Gulf-access canals (33904/33914) are the best alternative market; Charlotte Harbor canals and unincorporated East Naples next. Avoid Pasco, Citrus, Hernando, City of Naples.</t>
  </si>
  <si>
    <t xml:space="preserve">- All income is seller-stated until verified with 12-24 months of platform payouts + tourist-tax filings.</t>
  </si>
  <si>
    <t xml:space="preserve">STR / Seasonal DSCR Model: Assumptions</t>
  </si>
  <si>
    <t xml:space="preserve">As of 2026-10-18. Blue = input you can change. Yellow = key lever. Black = formula. Green = pulled from another tab.</t>
  </si>
  <si>
    <t xml:space="preserve">BUYER</t>
  </si>
  <si>
    <t xml:space="preserve">Value</t>
  </si>
  <si>
    <t xml:space="preserve">Note / source</t>
  </si>
  <si>
    <t xml:space="preserve">Credit score (FICO)</t>
  </si>
  <si>
    <t xml:space="preserve">Per broker; top DSCR pricing tier.</t>
  </si>
  <si>
    <t xml:space="preserve">Cash earmarked for down + closing</t>
  </si>
  <si>
    <t xml:space="preserve">Per broker.</t>
  </si>
  <si>
    <t xml:space="preserve">Brokerage (reserves / extra down)</t>
  </si>
  <si>
    <t xml:space="preserve">Per broker. CPA: check capital gains before liquidating.</t>
  </si>
  <si>
    <t xml:space="preserve">Checking (EMD)</t>
  </si>
  <si>
    <t xml:space="preserve">Per broker. Earnest money 3-5% to compete.</t>
  </si>
  <si>
    <t xml:space="preserve">LOAN TERMS (DSCR)</t>
  </si>
  <si>
    <t xml:space="preserve">Rate at LTV &gt; 75% (i.e., 80% LTV)</t>
  </si>
  <si>
    <t xml:space="preserve">Placeholder for 800 FICO STR DSCR. Overwrite with live rate sheet.</t>
  </si>
  <si>
    <t xml:space="preserve">Rate at LTV &gt; 70% to 75%</t>
  </si>
  <si>
    <t xml:space="preserve">Placeholder. Overwrite with live rate sheet.</t>
  </si>
  <si>
    <t xml:space="preserve">Rate at LTV &lt;= 70%</t>
  </si>
  <si>
    <t xml:space="preserve">Amortization (months)</t>
  </si>
  <si>
    <t xml:space="preserve">30-year fixed.</t>
  </si>
  <si>
    <t xml:space="preserve">Default down payment %</t>
  </si>
  <si>
    <t xml:space="preserve">Recommended 25% (rate tier + DSCR + cash flow). Each candidate row can override.</t>
  </si>
  <si>
    <t xml:space="preserve">Closing costs (% of price)</t>
  </si>
  <si>
    <t xml:space="preserve">Points/fees, FL doc stamps 0.35% + intangible 0.2% of loan, title, 12-mo prepaid insurance, escrow.</t>
  </si>
  <si>
    <t xml:space="preserve">Reserves required (months PITIA)</t>
  </si>
  <si>
    <t xml:space="preserve">Covered by brokerage; shown for lender sizing only.</t>
  </si>
  <si>
    <t xml:space="preserve">Lender income haircut (counted share of gross)</t>
  </si>
  <si>
    <t xml:space="preserve">Many STR DSCR lenders count ~80% of gross or T12 net of mgmt. Use DSCR (haircut) column to qualify.</t>
  </si>
  <si>
    <t xml:space="preserve">Default base insurance ($/yr): HO + wind + $1M STR liability</t>
  </si>
  <si>
    <t xml:space="preserve">Mainland CBS home ~$500k. Per-county overrides in the county table below (e.g., Monroe/Keys).</t>
  </si>
  <si>
    <t xml:space="preserve">FLOOD INSURANCE BY FEMA ZONE ($/yr)</t>
  </si>
  <si>
    <t xml:space="preserve">$/yr</t>
  </si>
  <si>
    <t xml:space="preserve">X</t>
  </si>
  <si>
    <t xml:space="preserve">Citizens requires flood on all wind policies by 1/1/2027, including X zones.</t>
  </si>
  <si>
    <t xml:space="preserve">AE</t>
  </si>
  <si>
    <t xml:space="preserve">NFIP Risk Rating 2.0 est.; elevation certificate drives price.</t>
  </si>
  <si>
    <t xml:space="preserve">VE</t>
  </si>
  <si>
    <t xml:space="preserve">Coastal high-hazard; avoid for this buyer.</t>
  </si>
  <si>
    <t xml:space="preserve">Unknown</t>
  </si>
  <si>
    <t xml:space="preserve">Placeholder until FEMA zone verified.</t>
  </si>
  <si>
    <t xml:space="preserve">BY COUNTY: PROPERTY TAX (% of price, non-homestead) + BASE INSURANCE</t>
  </si>
  <si>
    <t xml:space="preserve">Tax rate</t>
  </si>
  <si>
    <t xml:space="preserve">Base ins. $/yr</t>
  </si>
  <si>
    <t xml:space="preserve">Manatee</t>
  </si>
  <si>
    <t xml:space="preserve">Unincorporated ~13.3 mills (2025) + city + non-ad valorem; reset to purchase price.</t>
  </si>
  <si>
    <t xml:space="preserve">Sarasota</t>
  </si>
  <si>
    <t xml:space="preserve">11.47 mills countywide (2025); City of Sarasota ~14.9 mills.</t>
  </si>
  <si>
    <t xml:space="preserve">Beach towns ~15.8-16.6 mills (2025) + non-ad valorem; ~1.4-1.7% of price est.</t>
  </si>
  <si>
    <t xml:space="preserve">Lee</t>
  </si>
  <si>
    <t xml:space="preserve">Placeholder: Cape Coral/Fort Myers ~16-19 mills; North Cape utility assessments extra (~$3.4k/yr).</t>
  </si>
  <si>
    <t xml:space="preserve">Charlotte</t>
  </si>
  <si>
    <t xml:space="preserve">Placeholder.</t>
  </si>
  <si>
    <t xml:space="preserve">Collier</t>
  </si>
  <si>
    <t xml:space="preserve">Placeholder: lowest millage on the coast; ~1.4-1.5% incl. non-ad valorem.</t>
  </si>
  <si>
    <t xml:space="preserve">OPERATING PROFILE</t>
  </si>
  <si>
    <t xml:space="preserve">Mgmt</t>
  </si>
  <si>
    <t xml:space="preserve">Platform</t>
  </si>
  <si>
    <t xml:space="preserve">Cleaning</t>
  </si>
  <si>
    <t xml:space="preserve">Maint/Supplies</t>
  </si>
  <si>
    <t xml:space="preserve">CapEx</t>
  </si>
  <si>
    <t xml:space="preserve">Non-mgmt total</t>
  </si>
  <si>
    <t xml:space="preserve">STR</t>
  </si>
  <si>
    <t xml:space="preserve">Nightly/weekly. Full-service PM 18-30% locally; Airbnb host-only fee 15.5% (blended 10%); cleaning ~10% of gross (offset if guest-paid fees are inside the seller's gross).</t>
  </si>
  <si>
    <t xml:space="preserve">Seasonal</t>
  </si>
  <si>
    <t xml:space="preserve">30-day+ furnished (snowbird Jan-Apr, travel nurses, insurance displacement). Fewer turns.</t>
  </si>
  <si>
    <t xml:space="preserve">FIXED OPERATING COSTS ($/yr)</t>
  </si>
  <si>
    <t xml:space="preserve">Utilities (power, water, internet, streaming)</t>
  </si>
  <si>
    <t xml:space="preserve">Owner-paid in furnished rentals.</t>
  </si>
  <si>
    <t xml:space="preserve">Pool + lawn + pest (with pool)</t>
  </si>
  <si>
    <t xml:space="preserve">Lawn + pest (no pool)</t>
  </si>
  <si>
    <t xml:space="preserve">Manatee + Sarasota County: STR / Seasonal Candidates with Documented Income</t>
  </si>
  <si>
    <t xml:space="preserve">Active as of 2026-10-18. Screened ~600 listings across Zillow (14 keyword sweeps), Redfin, brokerages and STR marketplaces. Yellow rows = recommended.</t>
  </si>
  <si>
    <t xml:space="preserve">Edit blue cells (Offer Price, Seller Credit %, Down Pmt %, Income, Flood Zone) to rerun. Qualify on DSCR (lender haircut) &gt;= 1.00; &gt;= 1.15 preferred. Income is seller-stated until verified with platform payout reports.</t>
  </si>
  <si>
    <t xml:space="preserve">Rank</t>
  </si>
  <si>
    <t xml:space="preserve">County</t>
  </si>
  <si>
    <t xml:space="preserve">Type</t>
  </si>
  <si>
    <t xml:space="preserve">Bd/Ba/SqFt/Yr</t>
  </si>
  <si>
    <t xml:space="preserve">List Price</t>
  </si>
  <si>
    <t xml:space="preserve">Seller Credit %</t>
  </si>
  <si>
    <t xml:space="preserve">Down Pmt %</t>
  </si>
  <si>
    <t xml:space="preserve">Stated Gross Income ($/yr)</t>
  </si>
  <si>
    <t xml:space="preserve">Income Basis (seller-stated)</t>
  </si>
  <si>
    <t xml:space="preserve">Flood Zone</t>
  </si>
  <si>
    <t xml:space="preserve">Pool</t>
  </si>
  <si>
    <t xml:space="preserve">HOA ($/mo)</t>
  </si>
  <si>
    <t xml:space="preserve">Profile</t>
  </si>
  <si>
    <t xml:space="preserve">Loan Amount</t>
  </si>
  <si>
    <t xml:space="preserve">Rate</t>
  </si>
  <si>
    <t xml:space="preserve">P&amp;I ($/mo)</t>
  </si>
  <si>
    <t xml:space="preserve">Taxes ($/mo)</t>
  </si>
  <si>
    <t xml:space="preserve">Ins + Flood ($/mo)</t>
  </si>
  <si>
    <t xml:space="preserve">Reserves (6 mo)</t>
  </si>
  <si>
    <t xml:space="preserve">Opex excl. Mgmt ($/yr)</t>
  </si>
  <si>
    <t xml:space="preserve">Mgmt ($/yr)</t>
  </si>
  <si>
    <t xml:space="preserve">Gross Yield</t>
  </si>
  <si>
    <t xml:space="preserve">Cap Rate (w/ PM)</t>
  </si>
  <si>
    <t xml:space="preserve">Last Sale</t>
  </si>
  <si>
    <t xml:space="preserve">DOM</t>
  </si>
  <si>
    <t xml:space="preserve">Key Risks / Notes</t>
  </si>
  <si>
    <t xml:space="preserve">Listing Link</t>
  </si>
  <si>
    <t xml:space="preserve">8404 43rd Ave Terrace W</t>
  </si>
  <si>
    <t xml:space="preserve">Bradenton 34209</t>
  </si>
  <si>
    <t xml:space="preserve">SFR</t>
  </si>
  <si>
    <t xml:space="preserve">4/2 / 1,430 / 1978</t>
  </si>
  <si>
    <t xml:space="preserve">"almost $85,000 in gross revenue over the past 12 months" (T12)</t>
  </si>
  <si>
    <t xml:space="preserve">Y</t>
  </si>
  <si>
    <t xml:space="preserve">$595,000 (Aug 2023)</t>
  </si>
  <si>
    <t xml:space="preserve">Heated pool + spa, no HOA, turnkey; full 2021 reno (roof/HVAC/windows/plumbing/electric). First Street flood 7/10; neighbor parcel AE/X: get FEMA zone + elevation cert + CLUE. Featured in national STR newsletter 9/29: move fast. Uninc. Manatee: nightly legal.</t>
  </si>
  <si>
    <t xml:space="preserve">Zillow</t>
  </si>
  <si>
    <t xml:space="preserve">5318 17th St W (duplex)</t>
  </si>
  <si>
    <t xml:space="preserve">Bradenton 34207</t>
  </si>
  <si>
    <t xml:space="preserve">Duplex</t>
  </si>
  <si>
    <t xml:space="preserve">2 units / 1,740 / 1971</t>
  </si>
  <si>
    <t xml:space="preserve">Unit B Airbnb "over $53,000 in 2025" + Unit A LTR (est. ~$20k/yr; rent not stated)</t>
  </si>
  <si>
    <t xml:space="preserve">N</t>
  </si>
  <si>
    <t xml:space="preserve">$420,000 (Apr 2024)</t>
  </si>
  <si>
    <t xml:space="preserve">Zoned RSF-6 and listed as SFR: confirm legal nonconforming duplex. Confirm lender blends STR + LTR income. Opex model applies STR costs to all income (conservative).</t>
  </si>
  <si>
    <t xml:space="preserve">2801 23rd Ave W ("Beachin' Escape")</t>
  </si>
  <si>
    <t xml:space="preserve">Bradenton 34205</t>
  </si>
  <si>
    <t xml:space="preserve">4/2 / 1,906 (PR 1,564) / 1968</t>
  </si>
  <si>
    <t xml:space="preserve">"$89,000 gross vacation-rental revenue in 2025"; "$91,500 in booked 2026 revenue"</t>
  </si>
  <si>
    <t xml:space="preserve">$474,000 (Mar 2024)</t>
  </si>
  <si>
    <t xml:space="preserve">Strongest track record. Appraisal risk: +36% vs 2024 purchase; public record 1,564 sf vs 1,906 marketed (possible unpermitted space); contract fell through 9/27-9/29: ask why. Listed by Locals Property Mgmt.</t>
  </si>
  <si>
    <t xml:space="preserve">2245 Bahia Vista St (duplex)</t>
  </si>
  <si>
    <t xml:space="preserve">Sarasota 34239</t>
  </si>
  <si>
    <t xml:space="preserve">2/1 + 1/1 / 1,652 / 1936</t>
  </si>
  <si>
    <t xml:space="preserve">"currently generates more than $60,000 annually"; income + expenses available</t>
  </si>
  <si>
    <t xml:space="preserve">Listed $545k (May 2025) -&gt; $475k</t>
  </si>
  <si>
    <t xml:space="preserve">City of Sarasota 7-night minimum + annual registration/inspection. 1936 build: 4-point/insurance risk. 2025 roof. Land-value upside.</t>
  </si>
  <si>
    <t xml:space="preserve">1415 36th St W ("Bamboo Lagoon")</t>
  </si>
  <si>
    <t xml:space="preserve">3/2 / 1,176 / 1972</t>
  </si>
  <si>
    <t xml:space="preserve">"$45,200 gross revenue YTD at 86% occupancy"; 4.99 stars / 82 reviews; bookings convey</t>
  </si>
  <si>
    <t xml:space="preserve">$349,000 (Dec 2024)</t>
  </si>
  <si>
    <t xml:space="preserve">Appraisal risk: +36% vs Dec 2024 purchase. Pool likely added after purchase.</t>
  </si>
  <si>
    <t xml:space="preserve">3409 18th Avenue Dr W</t>
  </si>
  <si>
    <t xml:space="preserve">3/2 / 1,644 / 1971</t>
  </si>
  <si>
    <t xml:space="preserve">"over $53,000 in bookings so far this year"</t>
  </si>
  <si>
    <t xml:space="preserve">$525,000 (Jun 2024)</t>
  </si>
  <si>
    <t xml:space="preserve">Two price cuts ($550k -&gt; $529k). Roof 2024. City of Bradenton zoning (R1C): STR certificate required.</t>
  </si>
  <si>
    <t xml:space="preserve">2142 Waldemere St</t>
  </si>
  <si>
    <t xml:space="preserve">3/2 / 1,170 / 1952</t>
  </si>
  <si>
    <t xml:space="preserve">"$50,157 gross rental revenue in 2025 and $55,323 in 2024"; Jan-Apr ~$8k/mo</t>
  </si>
  <si>
    <t xml:space="preserve">$440,000 (Jun 2023)</t>
  </si>
  <si>
    <t xml:space="preserve">City 7-night min. "Previously operated": confirm still active. Sold as-is; metal roof 2026.</t>
  </si>
  <si>
    <t xml:space="preserve">7405 12th Ave W</t>
  </si>
  <si>
    <t xml:space="preserve">2/2 / 1,469 / 1973</t>
  </si>
  <si>
    <t xml:space="preserve">"just under a year... nearly $45,000 in rental income"</t>
  </si>
  <si>
    <t xml:space="preserve">$75,000 (2016)</t>
  </si>
  <si>
    <t xml:space="preserve">&lt;12 months history; 2BR. Solar 'majority owned': check lien on remainder.</t>
  </si>
  <si>
    <t xml:space="preserve">2705 2nd Ave W</t>
  </si>
  <si>
    <t xml:space="preserve">2/1 / 1,198 / 1925</t>
  </si>
  <si>
    <t xml:space="preserve">"currently brings in $40K/year in gross income"</t>
  </si>
  <si>
    <t xml:space="preserve">$240,000 (May 2021)</t>
  </si>
  <si>
    <t xml:space="preserve">377 cumulative DOM: very negotiable. 1BA, 1925: insurance. City of Bradenton certificate.</t>
  </si>
  <si>
    <t xml:space="preserve">4711 Hollingsworth Ave (3 units)</t>
  </si>
  <si>
    <t xml:space="preserve">Sarasota 34233</t>
  </si>
  <si>
    <t xml:space="preserve">Triplex</t>
  </si>
  <si>
    <t xml:space="preserve">3 furnished units / 1,696 / 1981</t>
  </si>
  <si>
    <t xml:space="preserve">"averaging approximately $102,000 in annual revenue during 2024-2025"; OM available</t>
  </si>
  <si>
    <t xml:space="preserve">$350,000 (Feb 2022)</t>
  </si>
  <si>
    <t xml:space="preserve">Unincorporated Sarasota County: &lt;30-day banned in this zoning -&gt; 30-day+ model. Zestimate ~$325k: will NOT appraise for DSCR. Seller financing offered: pursue only on seller terms.</t>
  </si>
  <si>
    <t xml:space="preserve">4440 47th Ave W #102 (Shorewalk condo)</t>
  </si>
  <si>
    <t xml:space="preserve">Bradenton 34210</t>
  </si>
  <si>
    <t xml:space="preserve">Condo</t>
  </si>
  <si>
    <t xml:space="preserve">2/2 / 1,174 / 1989</t>
  </si>
  <si>
    <t xml:space="preserve">"Gross rental earnings for January-June are $29,300"; 4.96 stars</t>
  </si>
  <si>
    <t xml:space="preserve">Cheapest entry. Shorewalk rental pool may be underwritten as condotel/non-warrantable (75% LTV, fewer lenders).</t>
  </si>
  <si>
    <t xml:space="preserve">539 Forest Way (Cedars East, LBK)</t>
  </si>
  <si>
    <t xml:space="preserve">Longboat Key 34228</t>
  </si>
  <si>
    <t xml:space="preserve">Townhome</t>
  </si>
  <si>
    <t xml:space="preserve">2/2.5 / 1,440 / 1990</t>
  </si>
  <si>
    <t xml:space="preserve">"~$50,000 average annual rental payout revenue, after Airbnb and VRBO fees"</t>
  </si>
  <si>
    <t xml:space="preserve">Shown as a reject example: $945/mo HOA + max 26 rentals/yr kills DSCR.</t>
  </si>
  <si>
    <t xml:space="preserve">Operating STRs with no $ in listing: request T12 payouts (could become candidates)</t>
  </si>
  <si>
    <t xml:space="preserve">Price</t>
  </si>
  <si>
    <t xml:space="preserve">Evidence (no $ in listing)</t>
  </si>
  <si>
    <t xml:space="preserve">Ask agent for</t>
  </si>
  <si>
    <t xml:space="preserve">Link</t>
  </si>
  <si>
    <t xml:space="preserve">8403 13th Ave NW</t>
  </si>
  <si>
    <t xml:space="preserve">"highly successful, income-generating VRBO"; no rental restrictions; outside flood zone; 147 DOM, 3 cuts</t>
  </si>
  <si>
    <t xml:space="preserve">T12 payout reports + TDT filings</t>
  </si>
  <si>
    <t xml:space="preserve">926 Plum Tree Ln</t>
  </si>
  <si>
    <t xml:space="preserve">Sarasota 34243 (Manatee Co.)</t>
  </si>
  <si>
    <t xml:space="preserve">"active, successful vacation rental with daily rentals allowed"; no HOA</t>
  </si>
  <si>
    <t xml:space="preserve">2714 42nd St W</t>
  </si>
  <si>
    <t xml:space="preserve">4BR pool; "currently operating as a successful short-term rental"</t>
  </si>
  <si>
    <t xml:space="preserve">120 60th St W</t>
  </si>
  <si>
    <t xml:space="preserve">"proven rental history available upon request"; 7 price cuts ($549k -&gt; $450k)</t>
  </si>
  <si>
    <t xml:space="preserve">1214 21st St W</t>
  </si>
  <si>
    <t xml:space="preserve">"ESTABLISHED SUCCESSFUL SHORT-TERM RENTAL"; salt pool + spa; impact windows</t>
  </si>
  <si>
    <t xml:space="preserve">6215 Rodgers Ave</t>
  </si>
  <si>
    <t xml:space="preserve">Sarasota 34231</t>
  </si>
  <si>
    <t xml:space="preserve">"proven Airbnb performer"; near Siesta; 291 DOM. County 30-day rule applies -&gt; seasonal only</t>
  </si>
  <si>
    <t xml:space="preserve">1664 Lakeview Pl</t>
  </si>
  <si>
    <t xml:space="preserve">Englewood 34223</t>
  </si>
  <si>
    <t xml:space="preserve">"proven vacation rental", pool, 1-month minimum (seasonal model)</t>
  </si>
  <si>
    <t xml:space="preserve">Pinellas County: STR / Seasonal Candidates with Documented Income</t>
  </si>
  <si>
    <t xml:space="preserve">Active as of 2026-10-18. Same method: Zillow keyword sweeps with full remarks + jurisdiction rules.</t>
  </si>
  <si>
    <t xml:space="preserve">12565 81st Ave</t>
  </si>
  <si>
    <t xml:space="preserve">Seminole 33776</t>
  </si>
  <si>
    <t xml:space="preserve">3/2 / 1,306 / 1960</t>
  </si>
  <si>
    <t xml:space="preserve">"approximately $71,000 in estimated annual revenue, 66% average occupancy, $252 ADR"; Airbnb since 2022</t>
  </si>
  <si>
    <t xml:space="preserve">Heated pool, furnished, 'city-approved STR license' (City of Seminole: confirm rules + transfer). Best Pinellas house found. Inland: ~10-15 min to Madeira/Indian Rocks beaches.</t>
  </si>
  <si>
    <t xml:space="preserve">4000 46th St N</t>
  </si>
  <si>
    <t xml:space="preserve">St Petersburg 33714</t>
  </si>
  <si>
    <t xml:space="preserve">4/2 / 1,579 / 1936</t>
  </si>
  <si>
    <t xml:space="preserve">"already on pace to do over $85k of Gross Income in it's first full year as a short term rental"</t>
  </si>
  <si>
    <t xml:space="preserve">Heated pool + spa, 4BR. 33714 straddles City of St. Pete (30-day rule) and unincorporated Lealman (legal w/ Certificate of Use): CONFIRM jurisdiction first. 1936 build: insurance. Low current tax will reset.</t>
  </si>
  <si>
    <t xml:space="preserve">341 Wertz Dr</t>
  </si>
  <si>
    <t xml:space="preserve">Largo 33771</t>
  </si>
  <si>
    <t xml:space="preserve">3/2 / 1,038 / 1961</t>
  </si>
  <si>
    <t xml:space="preserve">"over $51,000 in revenue in the 12 months leading up to the hurricanes" (pre-Oct 2024)</t>
  </si>
  <si>
    <t xml:space="preserve">STR paused since 2024 storms (new roof Apr 2025): lender may not accept 2-yr-old history. Largo: STR legal. 257 DOM: negotiable.</t>
  </si>
  <si>
    <t xml:space="preserve">15305 1st St E #305 (condo)</t>
  </si>
  <si>
    <t xml:space="preserve">Madeira Beach 33708</t>
  </si>
  <si>
    <t xml:space="preserve">3/3 / 1,440 / 2020</t>
  </si>
  <si>
    <t xml:space="preserve">"$75K in gross rental revenue in 2025 and already over $60K generated year-to-date in 2026"</t>
  </si>
  <si>
    <t xml:space="preserve">Best-documented Pinellas income. 2020 building (lower SB 4-D assessment risk). Confirm Madeira zoning allows &lt;30-day and condo DSCR warrantability.</t>
  </si>
  <si>
    <t xml:space="preserve">13235 Gulf Blvd #502 (Madeira Bay Resort)</t>
  </si>
  <si>
    <t xml:space="preserve">2/2 / 734 / 2006</t>
  </si>
  <si>
    <t xml:space="preserve">"Last year's gross rents were $59K"</t>
  </si>
  <si>
    <t xml:space="preserve">Resort with 24/7 guest services = condotel review: most DSCR lenders decline or cap at 60-70% LTV.</t>
  </si>
  <si>
    <t xml:space="preserve">17960 Gulf Blvd #121 (townhome)</t>
  </si>
  <si>
    <t xml:space="preserve">Redington Shores 33708</t>
  </si>
  <si>
    <t xml:space="preserve">2/2.5 / 1,237 / 1989</t>
  </si>
  <si>
    <t xml:space="preserve">"$47,890 IN REVENUE ALREADY BOOKED FOR 2027"; $20k+ Feb-May 2026; 30-day minimum</t>
  </si>
  <si>
    <t xml:space="preserve">Gulf-front, 30-day minimum (seasonal model). VE flood + $835 HOA kill DSCR.</t>
  </si>
  <si>
    <t xml:space="preserve">1904 Gulf Blvd #D (condo)</t>
  </si>
  <si>
    <t xml:space="preserve">Indian Rocks Beach 33785</t>
  </si>
  <si>
    <t xml:space="preserve">2/2 / 1,135 / 1997</t>
  </si>
  <si>
    <t xml:space="preserve">"averaged approximately $50,000 annually in gross rental revenue since 2023"; weekly rentals</t>
  </si>
  <si>
    <t xml:space="preserve">Shown as a reject example: $1,325/mo HOA.</t>
  </si>
  <si>
    <t xml:space="preserve">Pinellas operating STRs with history on request (legal zones): request T12 payouts + Certificate of Use</t>
  </si>
  <si>
    <t xml:space="preserve">9542 Oakhurst Rd</t>
  </si>
  <si>
    <t xml:space="preserve">Seminole 33776 (unincorporated)</t>
  </si>
  <si>
    <t xml:space="preserve">4/3 heated pool; "no length and duration limits"; 3 yrs Airbnb/VRBO history on request; STR insurance quote $4,353</t>
  </si>
  <si>
    <t xml:space="preserve">6400 Pelican Dr S</t>
  </si>
  <si>
    <t xml:space="preserve">St Petersburg 33707 (outside city limits)</t>
  </si>
  <si>
    <t xml:space="preserve">3/2 heated pool; "STR history and revenue information available upon request"; 122 DOM</t>
  </si>
  <si>
    <t xml:space="preserve">7957 Cottonwoode Dr</t>
  </si>
  <si>
    <t xml:space="preserve">Largo 33773</t>
  </si>
  <si>
    <t xml:space="preserve">3/2 pool; "documented Airbnb performance and booking history available"</t>
  </si>
  <si>
    <t xml:space="preserve">8253 137th Ln</t>
  </si>
  <si>
    <t xml:space="preserve">3/2 pool; Airbnb past year with strong performance</t>
  </si>
  <si>
    <t xml:space="preserve">4986 Woodland Dr</t>
  </si>
  <si>
    <t xml:space="preserve">St Petersburg 33708</t>
  </si>
  <si>
    <t xml:space="preserve">2/2 pool; "ACTIVE Short-Term RENTAL"; "NO RENTAL RESTRICTIONS" (verify jurisdiction)</t>
  </si>
  <si>
    <t xml:space="preserve">9370 83rd St</t>
  </si>
  <si>
    <t xml:space="preserve">Seminole 33777</t>
  </si>
  <si>
    <t xml:space="preserve">3/2 pool; operating furnished Airbnb; furniture extra</t>
  </si>
  <si>
    <t xml:space="preserve">166 Pinellas Way N</t>
  </si>
  <si>
    <t xml:space="preserve">St Petersburg 33710</t>
  </si>
  <si>
    <t xml:space="preserve">Pool + spa; history on request. Likely City of St. Pete (30-day rule): verify before pursuing</t>
  </si>
  <si>
    <t xml:space="preserve">14626 Wildwood Dr</t>
  </si>
  <si>
    <t xml:space="preserve">Largo 33774 (unincorporated)</t>
  </si>
  <si>
    <t xml:space="preserve">4/2 pool; "Currently operating as an AIRBNB"</t>
  </si>
  <si>
    <t xml:space="preserve">1600 Loretta Ave NW</t>
  </si>
  <si>
    <t xml:space="preserve">Largo 33770</t>
  </si>
  <si>
    <t xml:space="preserve">3/2 heated pool + spa, furnished; "registered with the city of Largo as a short term rental"</t>
  </si>
  <si>
    <t xml:space="preserve">863 Bay Breeze Ter</t>
  </si>
  <si>
    <t xml:space="preserve">3/2 pool; "INCOME-PRODUCING VRBO"; "NO RENTAL RESTRICTIONS"</t>
  </si>
  <si>
    <t xml:space="preserve">8628 Magnolia Dr</t>
  </si>
  <si>
    <t xml:space="preserve">4/2 pool; "currently operating as a short-term rental"; verify license transferability</t>
  </si>
  <si>
    <t xml:space="preserve">839 3rd St N</t>
  </si>
  <si>
    <t xml:space="preserve">Safety Harbor 34695</t>
  </si>
  <si>
    <t xml:space="preserve">8-yr vacation rental, hundreds of 5-star reviews; "detailed financials are available on request"; 2/2 small</t>
  </si>
  <si>
    <t xml:space="preserve">505 N Highland Ave</t>
  </si>
  <si>
    <t xml:space="preserve">Clearwater 33755</t>
  </si>
  <si>
    <t xml:space="preserve">4/3 heated pool; "OPERATED AS A VACATION RENTAL, REPORTS AVAILABLE". City of Clearwater residential = 31-day min: verify</t>
  </si>
  <si>
    <t xml:space="preserve">414 Tampa Rd (Ozona)</t>
  </si>
  <si>
    <t xml:space="preserve">Palm Harbor 34683</t>
  </si>
  <si>
    <t xml:space="preserve">2020-2026 rental history + 2027 bookings on request; listing gives $46k projection (not actual)</t>
  </si>
  <si>
    <t xml:space="preserve">Lee / Charlotte / Collier: Listings with Stated Rental Income</t>
  </si>
  <si>
    <t xml:space="preserve">Active as of 2026-10-18. 3 Zillow sweeps (~257 unique listings) before the Apify usage cap; documented income is thin outside Cape Coral. See 'Other SWFL Markets' for the market ranking.</t>
  </si>
  <si>
    <t xml:space="preserve">326 NW 21st Ter</t>
  </si>
  <si>
    <t xml:space="preserve">Cape Coral 33993</t>
  </si>
  <si>
    <t xml:space="preserve">3/2 / 1,734 / 2023</t>
  </si>
  <si>
    <t xml:space="preserve">"generated over $60,000 in annual rental revenue"</t>
  </si>
  <si>
    <t xml:space="preserve">Only SWFL listing clearing DSCR after haircut. NW Cape = inland, ~30+ min to beach. Check North Cape utility assessment (~$32k/lot, ~$3.4k/yr). Cape Coral STR registration $350/yr.</t>
  </si>
  <si>
    <t xml:space="preserve">370 Townhouse Ln #65 (North Captiva)</t>
  </si>
  <si>
    <t xml:space="preserve">Captiva 33924</t>
  </si>
  <si>
    <t xml:space="preserve">3/2 / 979 / 1985</t>
  </si>
  <si>
    <t xml:space="preserve">"established in a successful vacation rental program with $60,000+ in annual rental income"</t>
  </si>
  <si>
    <t xml:space="preserve">Boat-access-only island: financing/insurance hard. Rental program = condotel-style review.</t>
  </si>
  <si>
    <t xml:space="preserve">10345 Longshore Rd #31</t>
  </si>
  <si>
    <t xml:space="preserve">Placida 33946</t>
  </si>
  <si>
    <t xml:space="preserve">3/3 / 2,416 / 2020</t>
  </si>
  <si>
    <t xml:space="preserve">"annual short term rental with same family 12/1-4/15 generating rental income of $29,250"</t>
  </si>
  <si>
    <t xml:space="preserve">One seasonal tenant only; rest of year unbooked. Shown as a weak example.</t>
  </si>
  <si>
    <t xml:space="preserve">Operating STRs with history on request: Cape Coral Gulf-access + Charlotte Harbor (request T12)</t>
  </si>
  <si>
    <t xml:space="preserve">2712 SW 4th Pl</t>
  </si>
  <si>
    <t xml:space="preserve">Cape Coral 33914</t>
  </si>
  <si>
    <t xml:space="preserve">Pool, 2020 build; Feb 1-Mar 31 2027 booking (59 nights) + Nov 2026 booking transfer</t>
  </si>
  <si>
    <t xml:space="preserve">1433 SE 28th Ter</t>
  </si>
  <si>
    <t xml:space="preserve">Cape Coral 33904</t>
  </si>
  <si>
    <t xml:space="preserve">Airbnb Guest Favorite 4.93 stars; Gulf access; solar-heated pool</t>
  </si>
  <si>
    <t xml:space="preserve">4928 SW 1st Ct</t>
  </si>
  <si>
    <t xml:space="preserve">"proven income stream through Airbnb and VRBO"; direct Gulf access; 2BR; 424 DOM</t>
  </si>
  <si>
    <t xml:space="preserve">2917 SW Santa Barbara Pl (duplex)</t>
  </si>
  <si>
    <t xml:space="preserve">2024 duplex, 2x 3/2+den, "PROVEN AIRBNB RENTAL HISTORY", Guest Favorite; motivated seller</t>
  </si>
  <si>
    <t xml:space="preserve">3106 SE 8th Pl</t>
  </si>
  <si>
    <t xml:space="preserve">Pool, furnished, future rentals in place</t>
  </si>
  <si>
    <t xml:space="preserve">1768 Whiskey Creek Dr</t>
  </si>
  <si>
    <t xml:space="preserve">Fort Myers 33919</t>
  </si>
  <si>
    <t xml:space="preserve">"rental income information available upon request"; seller offering rate buydown</t>
  </si>
  <si>
    <t xml:space="preserve">951 Lassino Ct</t>
  </si>
  <si>
    <t xml:space="preserve">Punta Gorda 33950</t>
  </si>
  <si>
    <t xml:space="preserve">Punta Gorda Isles pool home; ~2 yrs history, reviews and accounts may transfer; check deed restrictions</t>
  </si>
  <si>
    <t xml:space="preserve">9277 Saint Catherine Ave</t>
  </si>
  <si>
    <t xml:space="preserve">Englewood 34224 (Charlotte)</t>
  </si>
  <si>
    <t xml:space="preserve">Pool, furnished; spring reservations may transfer; ~6 mi to beach</t>
  </si>
  <si>
    <t xml:space="preserve">59 Wickliffe Dr</t>
  </si>
  <si>
    <t xml:space="preserve">Naples 34110</t>
  </si>
  <si>
    <t xml:space="preserve">"$29k in future bookings on Airbnb" (forward only); unincorporated Collier</t>
  </si>
  <si>
    <t xml:space="preserve">Down Payment Scenarios: 20% vs 25% vs 30%</t>
  </si>
  <si>
    <t xml:space="preserve">Green cells pull offer price, credit, income, flood, pool, HOA and profile from the market tabs; rate tier follows LTV from Assumptions. Change a down % (blue) to test other levels.</t>
  </si>
  <si>
    <t xml:space="preserve">Property</t>
  </si>
  <si>
    <t xml:space="preserve">Down %</t>
  </si>
  <si>
    <t xml:space="preserve">Gross ($/yr)</t>
  </si>
  <si>
    <t xml:space="preserve">Loan</t>
  </si>
  <si>
    <t xml:space="preserve">DSCR (haircut)</t>
  </si>
  <si>
    <t xml:space="preserve">Cash In (down + closing - credit)</t>
  </si>
  <si>
    <t xml:space="preserve">Cash-on-Cash (self)</t>
  </si>
  <si>
    <t xml:space="preserve">Marginal Return on Extra Cash vs Prior Row</t>
  </si>
  <si>
    <t xml:space="preserve">-</t>
  </si>
  <si>
    <t xml:space="preserve">West-Coast Florida STR Markets Ranked for This Buyer (25% down, ~7.25%)</t>
  </si>
  <si>
    <t xml:space="preserve">Typical 3-4BR pool house; DSCR = typical gross / est. PITIA (no haircut). Vendor revenue data conflicts up to 2x: treat DSCR as +/-0.15. Listing-level documented income beats market averages: the top Manatee picks run ~1.6x.</t>
  </si>
  <si>
    <t xml:space="preserve">Market (target ZIPs)</t>
  </si>
  <si>
    <t xml:space="preserve">Typical qualifying house</t>
  </si>
  <si>
    <t xml:space="preserve">Est. PITIA ($/yr)</t>
  </si>
  <si>
    <t xml:space="preserve">Typical gross ($/yr)</t>
  </si>
  <si>
    <t xml:space="preserve">DSCR (typical)</t>
  </si>
  <si>
    <t xml:space="preserve">STR legality</t>
  </si>
  <si>
    <t xml:space="preserve">Momentum / 'hot' signals</t>
  </si>
  <si>
    <t xml:space="preserve">Key risks</t>
  </si>
  <si>
    <t xml:space="preserve">Manatee mainland near AMI (W. Bradenton 34205/34207/34209/34210)</t>
  </si>
  <si>
    <t xml:space="preserve">3-4BR pool, $475-600k</t>
  </si>
  <si>
    <t xml:space="preserve">~$51-55k</t>
  </si>
  <si>
    <t xml:space="preserve">$50-90k (documented picks $73-89k)</t>
  </si>
  <si>
    <t xml:space="preserve">1.0-1.6</t>
  </si>
  <si>
    <t xml:space="preserve">Uninc. Manatee: no ordinance yet (draft pending); City of Bradenton certificate</t>
  </si>
  <si>
    <t xml:space="preserve">Manatee bed tax record $4.61M (Jun 2026, +27.6%); AMI demand spillover</t>
  </si>
  <si>
    <t xml:space="preserve">Pending county ordinance; flood zones near bays</t>
  </si>
  <si>
    <t xml:space="preserve">BEST: current #1-#3 picks</t>
  </si>
  <si>
    <t xml:space="preserve">Pinellas: unincorporated (Seminole/Largo/Lealman areas) + Largo (33770-33778, 33714)</t>
  </si>
  <si>
    <t xml:space="preserve">3-4BR pool, $450-650k</t>
  </si>
  <si>
    <t xml:space="preserve">~$48-55k</t>
  </si>
  <si>
    <t xml:space="preserve">$50-85k (documented listings)</t>
  </si>
  <si>
    <t xml:space="preserve">Unincorporated: legal w/ Certificate of Use $450/yr + $150 inspection, max 10 guests; Largo legal</t>
  </si>
  <si>
    <t xml:space="preserve">Record spring 2026 tourist tax ($36.16M Feb-Apr); county 3.5 months supply</t>
  </si>
  <si>
    <t xml:space="preserve">Helene/Milton flooding; mailing city != jurisdiction (verify parcel)</t>
  </si>
  <si>
    <t xml:space="preserve">STRONG: see Pinellas tab</t>
  </si>
  <si>
    <t xml:space="preserve">2b</t>
  </si>
  <si>
    <t xml:space="preserve">Indian Rocks Beach / Indian Shores (33785)</t>
  </si>
  <si>
    <t xml:space="preserve">3-4BR house (SFH median ~$895k)</t>
  </si>
  <si>
    <t xml:space="preserve">~$60-70k</t>
  </si>
  <si>
    <t xml:space="preserve">$63-64k avg (AirROI); good 3-4BR $70-100k</t>
  </si>
  <si>
    <t xml:space="preserve">~1.0-1.4</t>
  </si>
  <si>
    <t xml:space="preserve">IRB: registration $300 + $150 inspection, 2026 crackdown; Indian Shores likely legal</t>
  </si>
  <si>
    <t xml:space="preserve">Beach-front demand; legal nightly</t>
  </si>
  <si>
    <t xml:space="preserve">Few houses under $700k; older ground-level homes = 50% rule + flood $12-15k</t>
  </si>
  <si>
    <t xml:space="preserve">Target only if a house appears &lt;= $700k</t>
  </si>
  <si>
    <t xml:space="preserve">2c</t>
  </si>
  <si>
    <t xml:space="preserve">Pinellas barrier towns: St. Pete Beach, Treasure Island RU-75, Madeira R-1/R-2, Redington Shores, Clearwater residential</t>
  </si>
  <si>
    <t xml:space="preserve">30 days to 6-month minimums (grandfathered pre-2011)</t>
  </si>
  <si>
    <t xml:space="preserve">Nightly history there may be illegal</t>
  </si>
  <si>
    <t xml:space="preserve">Avoid for STR-income DSCR</t>
  </si>
  <si>
    <t xml:space="preserve">Cape Coral Gulf-access canals (33904, 33914, S. 33991)</t>
  </si>
  <si>
    <t xml:space="preserve">3-4BR pool, ~$575k</t>
  </si>
  <si>
    <t xml:space="preserve">$55.6k</t>
  </si>
  <si>
    <t xml:space="preserve">$50-65k</t>
  </si>
  <si>
    <t xml:space="preserve">0.90-1.17</t>
  </si>
  <si>
    <t xml:space="preserve">City registration $350/yr since 1/1/2026; no minimum stay; few HOAs</t>
  </si>
  <si>
    <t xml:space="preserve">Lee bed tax +11.8% YoY (Aug 2026); months supply 7.0 -&gt; 4.8; prices bottomed (+1-3% YoY)</t>
  </si>
  <si>
    <t xml:space="preserve">STR supply +19%; ADR down ~6.6%; AE flood $3-8k; Ian flood history</t>
  </si>
  <si>
    <t xml:space="preserve">Best non-Tampa-Bay alternative</t>
  </si>
  <si>
    <t xml:space="preserve">1b</t>
  </si>
  <si>
    <t xml:space="preserve">Cape Coral freshwater canals (33909, 33993, 33990)</t>
  </si>
  <si>
    <t xml:space="preserve">3BR pool, ~$425k</t>
  </si>
  <si>
    <t xml:space="preserve">$41.3k (+$3.4k if assessed)</t>
  </si>
  <si>
    <t xml:space="preserve">$38-48k</t>
  </si>
  <si>
    <t xml:space="preserve">0.95-1.04</t>
  </si>
  <si>
    <t xml:space="preserve">Same as above</t>
  </si>
  <si>
    <t xml:space="preserve">Cheapest pool-home entry</t>
  </si>
  <si>
    <t xml:space="preserve">North Cape utility assessments (~$32k/lot); far from beach</t>
  </si>
  <si>
    <t xml:space="preserve">Value play</t>
  </si>
  <si>
    <t xml:space="preserve">Unincorporated Collier: East Naples / Golden Gate (34112, 34113, 34116)</t>
  </si>
  <si>
    <t xml:space="preserve">3-4BR pool, ~$625k</t>
  </si>
  <si>
    <t xml:space="preserve">$57.5k</t>
  </si>
  <si>
    <t xml:space="preserve">$48-65k</t>
  </si>
  <si>
    <t xml:space="preserve">0.83-1.13</t>
  </si>
  <si>
    <t xml:space="preserve">County registration only; no stay-length rule; HOAs common</t>
  </si>
  <si>
    <t xml:space="preserve">Naples ADR $333; inventory -20.7%</t>
  </si>
  <si>
    <t xml:space="preserve">6-10 mi to beach; gated HOAs ban STR; +1 cent TDT on Nov ballot</t>
  </si>
  <si>
    <t xml:space="preserve">Selective</t>
  </si>
  <si>
    <t xml:space="preserve">Fort Myers Beach (33931)</t>
  </si>
  <si>
    <t xml:space="preserve">Older/elevated house, ~$700k</t>
  </si>
  <si>
    <t xml:space="preserve">$68.9k</t>
  </si>
  <si>
    <t xml:space="preserve">$55-75k</t>
  </si>
  <si>
    <t xml:space="preserve">0.80-1.09</t>
  </si>
  <si>
    <t xml:space="preserve">Town registration $300; 2026 enforcement push</t>
  </si>
  <si>
    <t xml:space="preserve">Contrarian 2027 recovery play</t>
  </si>
  <si>
    <t xml:space="preserve">~22 months inventory; listings +18.7%, revenue -5.6%; VE zones + 50% rule</t>
  </si>
  <si>
    <t xml:space="preserve">Avoid for now</t>
  </si>
  <si>
    <t xml:space="preserve">Punta Gorda Isles / Burnt Store (33950, 33955)</t>
  </si>
  <si>
    <t xml:space="preserve">3BR Gulf-access pool, ~$525k</t>
  </si>
  <si>
    <t xml:space="preserve">$51.2k</t>
  </si>
  <si>
    <t xml:space="preserve">$40-52k</t>
  </si>
  <si>
    <t xml:space="preserve">0.78-1.02</t>
  </si>
  <si>
    <t xml:space="preserve">No county STR ordinance; BTR + 5% TDT; check deed restrictions</t>
  </si>
  <si>
    <t xml:space="preserve">Charlotte bed tax +17.6% YoY (Aug 2026); FY26 already &gt; FY25</t>
  </si>
  <si>
    <t xml:space="preserve">Listings +82% YoY (oversupply); home values -8.2% YoY</t>
  </si>
  <si>
    <t xml:space="preserve">Works only &lt;= $500k or &gt;= $50k documented</t>
  </si>
  <si>
    <t xml:space="preserve">Bonita Springs (34134, 34135)</t>
  </si>
  <si>
    <t xml:space="preserve">$60.0k</t>
  </si>
  <si>
    <t xml:space="preserve">$45-60k</t>
  </si>
  <si>
    <t xml:space="preserve">0.75-1.00</t>
  </si>
  <si>
    <t xml:space="preserve">City rental permit $100 / 3 yrs</t>
  </si>
  <si>
    <t xml:space="preserve">Thin pool-home data</t>
  </si>
  <si>
    <t xml:space="preserve">Marginal</t>
  </si>
  <si>
    <t xml:space="preserve">South Gulf Cove / Rotonda / Englewood-Charlotte (33981, 33947, 34224)</t>
  </si>
  <si>
    <t xml:space="preserve">3BR pool, ~$450k</t>
  </si>
  <si>
    <t xml:space="preserve">$44.3k</t>
  </si>
  <si>
    <t xml:space="preserve">$32-45k</t>
  </si>
  <si>
    <t xml:space="preserve">0.72-1.02</t>
  </si>
  <si>
    <t xml:space="preserve">No county ordinance; Rotonda deed-restricted</t>
  </si>
  <si>
    <t xml:space="preserve">Manasota Key renourishment Nov 2026-Apr 2027</t>
  </si>
  <si>
    <t xml:space="preserve">15-25 min to beach; Milton damage</t>
  </si>
  <si>
    <t xml:space="preserve">Port Charlotte waterways (33948, 33952, 33953)</t>
  </si>
  <si>
    <t xml:space="preserve">3BR pool, ~$375k</t>
  </si>
  <si>
    <t xml:space="preserve">$37.4k</t>
  </si>
  <si>
    <t xml:space="preserve">$26-36k</t>
  </si>
  <si>
    <t xml:space="preserve">0.70-0.96</t>
  </si>
  <si>
    <t xml:space="preserve">No county ordinance</t>
  </si>
  <si>
    <t xml:space="preserve">Weak revenue</t>
  </si>
  <si>
    <t xml:space="preserve">Avoid</t>
  </si>
  <si>
    <t xml:space="preserve">Hernando Beach / Weeki Wachee (34607)</t>
  </si>
  <si>
    <t xml:space="preserve">3BR canal, ~$500k</t>
  </si>
  <si>
    <t xml:space="preserve">$35-45k</t>
  </si>
  <si>
    <t xml:space="preserve">0.68-0.88</t>
  </si>
  <si>
    <t xml:space="preserve">No ordinance; 2-2 commission deadlock (Jul 2026)</t>
  </si>
  <si>
    <t xml:space="preserve">Helene 500+ homes damaged; 102-listing market</t>
  </si>
  <si>
    <t xml:space="preserve">Crystal River / Homosassa (34429, 34448)</t>
  </si>
  <si>
    <t xml:space="preserve">3BR waterfront, ~$425k</t>
  </si>
  <si>
    <t xml:space="preserve">$25-40k</t>
  </si>
  <si>
    <t xml:space="preserve">0.56-0.90</t>
  </si>
  <si>
    <t xml:space="preserve">Crystal River 3-month min outside one zone; county ordinance pending</t>
  </si>
  <si>
    <t xml:space="preserve">Helene flooding 300+ homes</t>
  </si>
  <si>
    <t xml:space="preserve">Apollo Beach (Hillsborough)</t>
  </si>
  <si>
    <t xml:space="preserve">3BR canal pool, ~$575k</t>
  </si>
  <si>
    <t xml:space="preserve">$55.2k</t>
  </si>
  <si>
    <t xml:space="preserve">$31-45k</t>
  </si>
  <si>
    <t xml:space="preserve">~0.69</t>
  </si>
  <si>
    <t xml:space="preserve">7-night county minimum; registration proposed</t>
  </si>
  <si>
    <t xml:space="preserve">Low DSCR</t>
  </si>
  <si>
    <t xml:space="preserve">Pasco: Hudson / New Port Richey / Holiday</t>
  </si>
  <si>
    <t xml:space="preserve">3BR waterfront, ~$400k</t>
  </si>
  <si>
    <t xml:space="preserve">$41.4k</t>
  </si>
  <si>
    <t xml:space="preserve">$20-30k</t>
  </si>
  <si>
    <t xml:space="preserve">~0.60</t>
  </si>
  <si>
    <t xml:space="preserve">Ord. 99-21: STR only in authorized subdivisions/conditional use</t>
  </si>
  <si>
    <t xml:space="preserve">ADR ~$153; Helene 6-9 ft surge</t>
  </si>
  <si>
    <t xml:space="preserve">Marco Island, Sanibel/Captiva, Boca Grande, City of Naples</t>
  </si>
  <si>
    <t xml:space="preserve">$1.3-2.9M</t>
  </si>
  <si>
    <t xml:space="preserve">&lt;0.6</t>
  </si>
  <si>
    <t xml:space="preserve">Sanibel 28-day min; City of Naples 30-day min</t>
  </si>
  <si>
    <t xml:space="preserve">Out of budget</t>
  </si>
  <si>
    <t xml:space="preserve">STR / Minimum-Stay Rules by Jurisdiction</t>
  </si>
  <si>
    <t xml:space="preserve">Verify with the city/county before contract; pre-2011 local bans survive FL preemption (F.S. 509.032(7)).</t>
  </si>
  <si>
    <t xml:space="preserve">Jurisdiction</t>
  </si>
  <si>
    <t xml:space="preserve">Min stay (SFH)</t>
  </si>
  <si>
    <t xml:space="preserve">Registration / cost</t>
  </si>
  <si>
    <t xml:space="preserve">Occupancy / other</t>
  </si>
  <si>
    <t xml:space="preserve">SFH nightly STR viable?</t>
  </si>
  <si>
    <t xml:space="preserve">Source</t>
  </si>
  <si>
    <t xml:space="preserve">Unincorporated (W. Bradenton, Cortez, Parrish, LWR-Manatee)</t>
  </si>
  <si>
    <t xml:space="preserve">None today</t>
  </si>
  <si>
    <t xml:space="preserve">No ordinance yet; draft: registration, inspections, ~$600/yr</t>
  </si>
  <si>
    <t xml:space="preserve">Pending ordinance</t>
  </si>
  <si>
    <t xml:space="preserve">Yes (rules pending)</t>
  </si>
  <si>
    <t xml:space="preserve">fox13news.com/news/manatee-county-short-term-rental-rules-cost</t>
  </si>
  <si>
    <t xml:space="preserve">City of Bradenton</t>
  </si>
  <si>
    <t xml:space="preserve">None found</t>
  </si>
  <si>
    <t xml:space="preserve">Certificate, Ord. 3093 (~$300 initial / $150 renewal)</t>
  </si>
  <si>
    <t xml:space="preserve">2/bedroom + 2 or 1 per 150 sf; max 12</t>
  </si>
  <si>
    <t xml:space="preserve">Yes</t>
  </si>
  <si>
    <t xml:space="preserve">cityofbradenton.com/vacarentals</t>
  </si>
  <si>
    <t xml:space="preserve">Anna Maria</t>
  </si>
  <si>
    <t xml:space="preserve">Annual, ~$104.78 per allowed occupant</t>
  </si>
  <si>
    <t xml:space="preserve">Lesser of 2/BR+2 or 8 total</t>
  </si>
  <si>
    <t xml:space="preserve">Yes (8-person cap)</t>
  </si>
  <si>
    <t xml:space="preserve">amisun.com</t>
  </si>
  <si>
    <t xml:space="preserve">Holmes Beach</t>
  </si>
  <si>
    <t xml:space="preserve">30 days in R-1/R-1AA; 7 nights R-2 to R-4</t>
  </si>
  <si>
    <t xml:space="preserve">2-yr certificate $545 ($782 proposed)</t>
  </si>
  <si>
    <t xml:space="preserve">2/BR or 6</t>
  </si>
  <si>
    <t xml:space="preserve">R-2+ only</t>
  </si>
  <si>
    <t xml:space="preserve">islandreal.com</t>
  </si>
  <si>
    <t xml:space="preserve">Bradenton Beach</t>
  </si>
  <si>
    <t xml:space="preserve">Not found</t>
  </si>
  <si>
    <t xml:space="preserve">TPLE lodging license (fee proposal pending)</t>
  </si>
  <si>
    <t xml:space="preserve">2/BR+2 discussed</t>
  </si>
  <si>
    <t xml:space="preserve">islander.org</t>
  </si>
  <si>
    <t xml:space="preserve">City of Sarasota</t>
  </si>
  <si>
    <t xml:space="preserve">7 nights</t>
  </si>
  <si>
    <t xml:space="preserve">Annual registration + annual reinspection; ~$500 new / $350 renewal</t>
  </si>
  <si>
    <t xml:space="preserve">2/BR+2, max 10</t>
  </si>
  <si>
    <t xml:space="preserve">Weekly only</t>
  </si>
  <si>
    <t xml:space="preserve">shumaker.com (Ord. 25-5560)</t>
  </si>
  <si>
    <t xml:space="preserve">Unincorporated (Siesta Key SFH, Gulf Gate, Nokomis, Osprey, Englewood)</t>
  </si>
  <si>
    <t xml:space="preserve">30 days (UDC 124-131, pre-2011)</t>
  </si>
  <si>
    <t xml:space="preserve">Only RMF zoning on barrier islands exempt</t>
  </si>
  <si>
    <t xml:space="preserve">No: seasonal only</t>
  </si>
  <si>
    <t xml:space="preserve">scgov.net code enforcement guide</t>
  </si>
  <si>
    <t xml:space="preserve">Sarasota/Manatee</t>
  </si>
  <si>
    <t xml:space="preserve">Longboat Key</t>
  </si>
  <si>
    <t xml:space="preserve">30 days (except tourism-zoned/grandfathered)</t>
  </si>
  <si>
    <t xml:space="preserve">$200 initial / $150 per 2 yrs</t>
  </si>
  <si>
    <t xml:space="preserve">No</t>
  </si>
  <si>
    <t xml:space="preserve">Town of Longboat Key FAQ</t>
  </si>
  <si>
    <t xml:space="preserve">Venice</t>
  </si>
  <si>
    <t xml:space="preserve">Transient use of SF districts restricted (Code 86-151)</t>
  </si>
  <si>
    <t xml:space="preserve">BTR</t>
  </si>
  <si>
    <t xml:space="preserve">Likely no: verify</t>
  </si>
  <si>
    <t xml:space="preserve">lajollacpa.org (Costello STVR)</t>
  </si>
  <si>
    <t xml:space="preserve">North Port</t>
  </si>
  <si>
    <t xml:space="preserve">State DBPR license + tax registration</t>
  </si>
  <si>
    <t xml:space="preserve">Likely yes</t>
  </si>
  <si>
    <t xml:space="preserve">airdna.co</t>
  </si>
  <si>
    <t xml:space="preserve">Both</t>
  </si>
  <si>
    <t xml:space="preserve">Guest taxes</t>
  </si>
  <si>
    <t xml:space="preserve">13% total: 6% tourist development + 7% sales tax. Manatee: owner remits TDT (no platform agreement).</t>
  </si>
  <si>
    <t xml:space="preserve">taxcollector.com; sarasotataxcollector.gov</t>
  </si>
  <si>
    <t xml:space="preserve">Unincorporated (Seminole/Largo/Palm Harbor/Tierra Verde areas)</t>
  </si>
  <si>
    <t xml:space="preserve">None</t>
  </si>
  <si>
    <t xml:space="preserve">Certificate of Use $450/yr + $150 inspection; re-inspect every 2 yrs</t>
  </si>
  <si>
    <t xml:space="preserve">2/BR + 2, max 10; 1 parking per 3 guests</t>
  </si>
  <si>
    <t xml:space="preserve">pinellas.gov/short-term-rental-certificate-of-use-faqs</t>
  </si>
  <si>
    <t xml:space="preserve">Largo</t>
  </si>
  <si>
    <t xml:space="preserve">Rules since 2018</t>
  </si>
  <si>
    <t xml:space="preserve">Occupancy cap, parking, fire inspection</t>
  </si>
  <si>
    <t xml:space="preserve">tampabay.com (2018)</t>
  </si>
  <si>
    <t xml:space="preserve">Indian Rocks Beach</t>
  </si>
  <si>
    <t xml:space="preserve">Annual registration $300 + $150 inspection + $25 BTR; 2026 crackdown (fines to $5k)</t>
  </si>
  <si>
    <t xml:space="preserve">Max 10 guests residential</t>
  </si>
  <si>
    <t xml:space="preserve">indian-rocks-beach.com VRR application (Jul 2026)</t>
  </si>
  <si>
    <t xml:space="preserve">Redington Beach</t>
  </si>
  <si>
    <t xml:space="preserve">Annual registration + inspection (Ord. 2025-02)</t>
  </si>
  <si>
    <t xml:space="preserve">2/BR, max 8; no events; max 3 cars</t>
  </si>
  <si>
    <t xml:space="preserve">Yes (strict)</t>
  </si>
  <si>
    <t xml:space="preserve">townofredingtonbeach.com</t>
  </si>
  <si>
    <t xml:space="preserve">Seminole (city) / Pinellas Park / Indian Shores</t>
  </si>
  <si>
    <t xml:space="preserve">Unverified</t>
  </si>
  <si>
    <t xml:space="preserve">Probably: verify</t>
  </si>
  <si>
    <t xml:space="preserve">pinellasrealtor.org; realtor blogs</t>
  </si>
  <si>
    <t xml:space="preserve">City of St. Petersburg</t>
  </si>
  <si>
    <t xml:space="preserve">&lt;30-day capped at 3/yr in residential (2001)</t>
  </si>
  <si>
    <t xml:space="preserve">BTR + DBPR</t>
  </si>
  <si>
    <t xml:space="preserve">No: 30-day+ only</t>
  </si>
  <si>
    <t xml:space="preserve">stpetecatalyst.com; bnbcalc.com</t>
  </si>
  <si>
    <t xml:space="preserve">St. Pete Beach</t>
  </si>
  <si>
    <t xml:space="preserve">&lt;30 days barred in most residential</t>
  </si>
  <si>
    <t xml:space="preserve">No registration (shelved Aug 2026)</t>
  </si>
  <si>
    <t xml:space="preserve">tampabaybeacons.com (Aug 2026)</t>
  </si>
  <si>
    <t xml:space="preserve">Treasure Island</t>
  </si>
  <si>
    <t xml:space="preserve">RU-75: &gt;2 occupancy changes/yr banned; RM-15: &gt;5</t>
  </si>
  <si>
    <t xml:space="preserve">BTR + DBPR + TDT</t>
  </si>
  <si>
    <t xml:space="preserve">No limits in CG, RFM-30, RFH-50, PR-MU</t>
  </si>
  <si>
    <t xml:space="preserve">Only commercial/resort parcels</t>
  </si>
  <si>
    <t xml:space="preserve">mytreasureisland.org</t>
  </si>
  <si>
    <t xml:space="preserve">Madeira Beach</t>
  </si>
  <si>
    <t xml:space="preserve">R-1: 6-month min; R-2: 3-month min</t>
  </si>
  <si>
    <t xml:space="preserve">Annual certificate + BTR + DBPR</t>
  </si>
  <si>
    <t xml:space="preserve">OK in R-3, C-1, C-3, C-4</t>
  </si>
  <si>
    <t xml:space="preserve">Only R-3/C parcels</t>
  </si>
  <si>
    <t xml:space="preserve">Madeira Beach Ord. 2015-13</t>
  </si>
  <si>
    <t xml:space="preserve">Redington Shores / N. Redington / Belleair Beach</t>
  </si>
  <si>
    <t xml:space="preserve">181 days / 90 days / 90 days</t>
  </si>
  <si>
    <t xml:space="preserve">townofredingtonshores.com; cityofbelleairbeach.com</t>
  </si>
  <si>
    <t xml:space="preserve">Clearwater (residential) / Dunedin / Gulfport</t>
  </si>
  <si>
    <t xml:space="preserve">31 days / banned in R zones / &gt;3 short stays per yr banned</t>
  </si>
  <si>
    <t xml:space="preserve">Clearwater Beach Tourist district OK</t>
  </si>
  <si>
    <t xml:space="preserve">No (except Tourist district)</t>
  </si>
  <si>
    <t xml:space="preserve">airbtics.com; dunedingov.com; mygulfport.us</t>
  </si>
  <si>
    <t xml:space="preserve">Cape Coral</t>
  </si>
  <si>
    <t xml:space="preserve">City registration $350/yr (since 1/1/2026)</t>
  </si>
  <si>
    <t xml:space="preserve">Few HOAs</t>
  </si>
  <si>
    <t xml:space="preserve">capecoral.gov</t>
  </si>
  <si>
    <t xml:space="preserve">Fort Myers Beach</t>
  </si>
  <si>
    <t xml:space="preserve">Town registration $300; 2026 enforcement on ~500 unregistered</t>
  </si>
  <si>
    <t xml:space="preserve">fortmyersbeachfl.gov/1024</t>
  </si>
  <si>
    <t xml:space="preserve">Bonita Springs</t>
  </si>
  <si>
    <t xml:space="preserve">Rental permit $100 / 3 yrs</t>
  </si>
  <si>
    <t xml:space="preserve">bonitasprings civiclive</t>
  </si>
  <si>
    <t xml:space="preserve">Sanibel</t>
  </si>
  <si>
    <t xml:space="preserve">28 days (houses)</t>
  </si>
  <si>
    <t xml:space="preserve">staywithstay.com</t>
  </si>
  <si>
    <t xml:space="preserve">County / Punta Gorda</t>
  </si>
  <si>
    <t xml:space="preserve">None (Punta Gorda ordinance shelved 2023)</t>
  </si>
  <si>
    <t xml:space="preserve">DBPR + BTR + 5% TDT</t>
  </si>
  <si>
    <t xml:space="preserve">Check deed restrictions (PGI, Rotonda)</t>
  </si>
  <si>
    <t xml:space="preserve">strprofitmap.com; wgcu.org</t>
  </si>
  <si>
    <t xml:space="preserve">Unincorporated Collier</t>
  </si>
  <si>
    <t xml:space="preserve">County STR registration</t>
  </si>
  <si>
    <t xml:space="preserve">Gated HOAs often ban</t>
  </si>
  <si>
    <t xml:space="preserve">collier.gov STVR registration</t>
  </si>
  <si>
    <t xml:space="preserve">City of Naples</t>
  </si>
  <si>
    <t xml:space="preserve">30 days (except 3x/yr)</t>
  </si>
  <si>
    <t xml:space="preserve">naplesgov.com/faqs/all/56161</t>
  </si>
  <si>
    <t xml:space="preserve">Pasco / Citrus / Hernando</t>
  </si>
  <si>
    <t xml:space="preserve">Pasco Ord. 99-21; Crystal River 3-month; Hernando none (2-2 deadlock)</t>
  </si>
  <si>
    <t xml:space="preserve">Varies</t>
  </si>
  <si>
    <t xml:space="preserve">bnbcalc.com; vrma.org</t>
  </si>
  <si>
    <t xml:space="preserve">Ask Every Listing Agent Before Writing an Offer</t>
  </si>
  <si>
    <t xml:space="preserve">Send as one request; lender pre-reviews payouts before inspection period ends.</t>
  </si>
  <si>
    <t xml:space="preserve">#</t>
  </si>
  <si>
    <t xml:space="preserve">Item</t>
  </si>
  <si>
    <t xml:space="preserve">Why it matters</t>
  </si>
  <si>
    <t xml:space="preserve">12-24 months of Airbnb/VRBO payout reports or PM owner statements</t>
  </si>
  <si>
    <t xml:space="preserve">Proves income for DSCR; gross must exclude 13% taxes; break out cleaning fees and platform-fee basis.</t>
  </si>
  <si>
    <t xml:space="preserve">Tourist development tax filings (county tax collector)</t>
  </si>
  <si>
    <t xml:space="preserve">Independent cross-check of the payouts.</t>
  </si>
  <si>
    <t xml:space="preserve">Future bookings ledger + whether bookings convey</t>
  </si>
  <si>
    <t xml:space="preserve">Day-one income; assign or refund deposits at closing.</t>
  </si>
  <si>
    <t xml:space="preserve">FEMA flood zone + elevation certificate</t>
  </si>
  <si>
    <t xml:space="preserve">AE vs X changes flood premium by ~$3.5k/yr and DSCR by ~0.08x.</t>
  </si>
  <si>
    <t xml:space="preserve">CLUE report + any Helene/Milton damage, repairs, permits</t>
  </si>
  <si>
    <t xml:space="preserve">FEMA 50% substantial-improvement rule; hidden flood history.</t>
  </si>
  <si>
    <t xml:space="preserve">Current insurance declarations page (carrier, premium, wind/flood)</t>
  </si>
  <si>
    <t xml:space="preserve">Real premium vs model; insurability as an STR.</t>
  </si>
  <si>
    <t xml:space="preserve">Local STR registration/certificate + any code violations</t>
  </si>
  <si>
    <t xml:space="preserve">Confirms legal operation; transfer requirements.</t>
  </si>
  <si>
    <t xml:space="preserve">Furniture/equipment inventory list</t>
  </si>
  <si>
    <t xml:space="preserve">Conveys by contract (not financeable); value for tax basis.</t>
  </si>
  <si>
    <t xml:space="preserve">Utility bills (12 months)</t>
  </si>
  <si>
    <t xml:space="preserve">Validates the $6k/yr fixed-cost assumption.</t>
  </si>
  <si>
    <t xml:space="preserve">Property-manager / cleaner contacts and terms</t>
  </si>
  <si>
    <t xml:space="preserve">Continuity; co-host at 10-15% is what makes cash flow work.</t>
  </si>
  <si>
    <t xml:space="preserve">Sources and Notes</t>
  </si>
  <si>
    <t xml:space="preserve">Research compiled 2026-10-18.</t>
  </si>
  <si>
    <t xml:space="preserve">Topic</t>
  </si>
  <si>
    <t xml:space="preserve">Source / Note</t>
  </si>
  <si>
    <t xml:space="preserve">URL</t>
  </si>
  <si>
    <t xml:space="preserve">Listings</t>
  </si>
  <si>
    <t xml:space="preserve">Zillow (igolaizola/zillow-scraper-ppe + maxcopell detail scraper via Apify): remarks, price + tax history</t>
  </si>
  <si>
    <t xml:space="preserve">Redfin listing pages (flood score, status, price history)</t>
  </si>
  <si>
    <t xml:space="preserve">8404 43rd Ave Ter W</t>
  </si>
  <si>
    <t xml:space="preserve">STR newsletter feature (Sep 29, 2026)</t>
  </si>
  <si>
    <t xml:space="preserve">STR benchmarks</t>
  </si>
  <si>
    <t xml:space="preserve">Rabbu market pages (T12 to Apr 2026)</t>
  </si>
  <si>
    <t xml:space="preserve">AirROI / Airbtics / AirDNA public market pages</t>
  </si>
  <si>
    <t xml:space="preserve">DSCR terms</t>
  </si>
  <si>
    <t xml:space="preserve">Angel Oak STR program (80% at 720+, DSCR &gt;= 1.0)</t>
  </si>
  <si>
    <t xml:space="preserve">Deephaven STR income: 12-mo receipts net of mgmt</t>
  </si>
  <si>
    <t xml:space="preserve">Rates</t>
  </si>
  <si>
    <t xml:space="preserve">Freddie Mac PMMS 30-yr 7.40% (10/15/2026)</t>
  </si>
  <si>
    <t xml:space="preserve">Insurance</t>
  </si>
  <si>
    <t xml:space="preserve">Citizens: flood required on wind policies by 1/1/2027</t>
  </si>
  <si>
    <t xml:space="preserve">Market</t>
  </si>
  <si>
    <t xml:space="preserve">RASM Q3 2026 market report</t>
  </si>
  <si>
    <t xml:space="preserve">Pinellas rules</t>
  </si>
  <si>
    <t xml:space="preserve">Pinellas County STR Certificate of Use FAQ</t>
  </si>
  <si>
    <t xml:space="preserve">Treasure Island STR information</t>
  </si>
  <si>
    <t xml:space="preserve">Pinellas tourism</t>
  </si>
  <si>
    <t xml:space="preserve">Record spring 2026 tourist tax ($36.16M Feb-Apr)</t>
  </si>
  <si>
    <t xml:space="preserve">Pinellas market</t>
  </si>
  <si>
    <t xml:space="preserve">Pinellas REALTOR July 2026 stats (3.5 months supply)</t>
  </si>
  <si>
    <t xml:space="preserve">AirROI Cape Coral market data</t>
  </si>
  <si>
    <t xml:space="preserve">City STR registration</t>
  </si>
  <si>
    <t xml:space="preserve">SWFL tourism</t>
  </si>
  <si>
    <t xml:space="preserve">FGCU tourist tax dashboard (Lee +11.8%, Charlotte +17.6% Aug 2026)</t>
  </si>
  <si>
    <t xml:space="preserve">Collier rules</t>
  </si>
  <si>
    <t xml:space="preserve">City of Naples 30-day rule FAQ</t>
  </si>
  <si>
    <t xml:space="preserve">Tourism</t>
  </si>
  <si>
    <t xml:space="preserve">Manatee June 2026 bed tax record $4.61M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</si>
</sst>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0\x"/>
    <numFmt numFmtId="167" formatCode="0"/>
    <numFmt numFmtId="168" formatCode="\$#,##0"/>
    <numFmt numFmtId="169" formatCode="0.000%"/>
    <numFmt numFmtId="170" formatCode="0.0%;\(0.0%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zillow.com/homedetails/8404-43rd-Avenue-Ter-W-Bradenton-FL-34209/45762957_zpid/" TargetMode="External"/><Relationship Id="rId3" Type="http://schemas.openxmlformats.org/officeDocument/2006/relationships/hyperlink" Target="https://www.zillow.com/homedetails/5318-17th-St-W-Bradenton-FL-34207/45773289_zpid/" TargetMode="External"/><Relationship Id="rId4" Type="http://schemas.openxmlformats.org/officeDocument/2006/relationships/hyperlink" Target="https://www.zillow.com/homedetails/2801-23rd-Ave-W-Bradenton-FL-34205/45755850_zpid/" TargetMode="External"/><Relationship Id="rId5" Type="http://schemas.openxmlformats.org/officeDocument/2006/relationships/hyperlink" Target="https://www.zillow.com/homedetails/2245-Bahia-Vista-St-Sarasota-FL-34239/454647806_zpid/" TargetMode="External"/><Relationship Id="rId6" Type="http://schemas.openxmlformats.org/officeDocument/2006/relationships/hyperlink" Target="https://www.zillow.com/homedetails/1415-36th-St-W-Bradenton-FL-34205/45748314_zpid/" TargetMode="External"/><Relationship Id="rId7" Type="http://schemas.openxmlformats.org/officeDocument/2006/relationships/hyperlink" Target="https://www.zillow.com/homedetails/3409-18th-Avenue-Dr-W-Bradenton-FL-34205/45748742_zpid/" TargetMode="External"/><Relationship Id="rId8" Type="http://schemas.openxmlformats.org/officeDocument/2006/relationships/hyperlink" Target="https://www.zillow.com/homedetails/2142-Waldemere-St-Sarasota-FL-34239/47620052_zpid/" TargetMode="External"/><Relationship Id="rId9" Type="http://schemas.openxmlformats.org/officeDocument/2006/relationships/hyperlink" Target="https://www.zillow.com/homedetails/7405-12th-Ave-W-Bradenton-FL-34209/45745183_zpid/" TargetMode="External"/><Relationship Id="rId10" Type="http://schemas.openxmlformats.org/officeDocument/2006/relationships/hyperlink" Target="https://www.zillow.com/homedetails/2705-2nd-Ave-W-Bradenton-FL-34205/45741187_zpid/" TargetMode="External"/><Relationship Id="rId11" Type="http://schemas.openxmlformats.org/officeDocument/2006/relationships/hyperlink" Target="https://www.zillow.com/homedetails/4711-Hollingsworth-Ave-Sarasota-FL-34233/47500769_zpid/" TargetMode="External"/><Relationship Id="rId12" Type="http://schemas.openxmlformats.org/officeDocument/2006/relationships/hyperlink" Target="https://www.zillow.com/homedetails/4440-47th-Ave-W-102-Bradenton-FL-34210/45764495_zpid/" TargetMode="External"/><Relationship Id="rId13" Type="http://schemas.openxmlformats.org/officeDocument/2006/relationships/hyperlink" Target="https://www.zillow.com/homedetails/539-Forest-Way-539-Longboat-Key-FL-34228/465464113_zpid/" TargetMode="External"/><Relationship Id="rId14" Type="http://schemas.openxmlformats.org/officeDocument/2006/relationships/hyperlink" Target="https://www.zillow.com/homedetails/8403-13th-Ave-NW-Bradenton-FL-34209/45787788_zpid/" TargetMode="External"/><Relationship Id="rId15" Type="http://schemas.openxmlformats.org/officeDocument/2006/relationships/hyperlink" Target="https://www.zillow.com/homedetails/926-Plum-Tree-Ln-Sarasota-FL-34243/45782588_zpid/" TargetMode="External"/><Relationship Id="rId16" Type="http://schemas.openxmlformats.org/officeDocument/2006/relationships/hyperlink" Target="https://www.zillow.com/homedetails/2714-42nd-St-W-Bradenton-FL-34205/45757545_zpid/" TargetMode="External"/><Relationship Id="rId17" Type="http://schemas.openxmlformats.org/officeDocument/2006/relationships/hyperlink" Target="https://www.zillow.com/homedetails/120-60th-St-W-Bradenton-FL-34209/45743370_zpid/" TargetMode="External"/><Relationship Id="rId18" Type="http://schemas.openxmlformats.org/officeDocument/2006/relationships/hyperlink" Target="https://www.zillow.com/homedetails/1214-21st-St-W-Bradenton-FL-34205/45749331_zpid/" TargetMode="External"/><Relationship Id="rId19" Type="http://schemas.openxmlformats.org/officeDocument/2006/relationships/hyperlink" Target="https://www.zillow.com/homedetails/6215-Rodgers-Ave-Sarasota-FL-34231/47517098_zpid/" TargetMode="External"/><Relationship Id="rId20" Type="http://schemas.openxmlformats.org/officeDocument/2006/relationships/hyperlink" Target="https://www.zillow.com/homedetails/1664-Lakeview-Pl-Englewood-FL-34223/47591926_zpid/" TargetMode="External"/><Relationship Id="rId21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zillow.com/homedetails/12565-81st-Ave-Seminole-FL-33776/47213160_zpid/" TargetMode="External"/><Relationship Id="rId3" Type="http://schemas.openxmlformats.org/officeDocument/2006/relationships/hyperlink" Target="https://www.zillow.com/homedetails/4000-46th-St-N-Saint-Petersburg-FL-33714/46977274_zpid/" TargetMode="External"/><Relationship Id="rId4" Type="http://schemas.openxmlformats.org/officeDocument/2006/relationships/hyperlink" Target="https://www.zillow.com/homedetails/341-Wertz-Dr-Largo-FL-33771/47275524_zpid/" TargetMode="External"/><Relationship Id="rId5" Type="http://schemas.openxmlformats.org/officeDocument/2006/relationships/hyperlink" Target="https://www.zillow.com/homedetails/15305-1st-St-E-305-Madeira-Beach-FL-33708/338651387_zpid/" TargetMode="External"/><Relationship Id="rId6" Type="http://schemas.openxmlformats.org/officeDocument/2006/relationships/hyperlink" Target="https://www.zillow.com/homedetails/13235-Gulf-Blvd-502-Madeira-Beach-FL-33708/81401004_zpid/" TargetMode="External"/><Relationship Id="rId7" Type="http://schemas.openxmlformats.org/officeDocument/2006/relationships/hyperlink" Target="https://www.zillow.com/homedetails/17960-Gulf-Blvd-APT-121-Redington-Shores-FL-33708/47239950_zpid/" TargetMode="External"/><Relationship Id="rId8" Type="http://schemas.openxmlformats.org/officeDocument/2006/relationships/hyperlink" Target="https://www.zillow.com/homedetails/1904-Gulf-Blvd-APT-D-Indian-Rocks-Beach-FL-33785/46947494_zpid/" TargetMode="External"/><Relationship Id="rId9" Type="http://schemas.openxmlformats.org/officeDocument/2006/relationships/hyperlink" Target="https://www.zillow.com/homedetails/9542-Oakhurst-Rd-Seminole-FL-33776/47122217_zpid/" TargetMode="External"/><Relationship Id="rId10" Type="http://schemas.openxmlformats.org/officeDocument/2006/relationships/hyperlink" Target="https://www.zillow.com/homedetails/6400-Pelican-Dr-S-Saint-Petersburg-FL-33707/47217712_zpid/" TargetMode="External"/><Relationship Id="rId11" Type="http://schemas.openxmlformats.org/officeDocument/2006/relationships/hyperlink" Target="https://www.zillow.com/homedetails/7957-Cottonwoode-Dr-Largo-FL-33773/47057320_zpid/" TargetMode="External"/><Relationship Id="rId12" Type="http://schemas.openxmlformats.org/officeDocument/2006/relationships/hyperlink" Target="https://www.zillow.com/homedetails/8253-137th-Ln-Seminole-FL-33776/47224129_zpid/" TargetMode="External"/><Relationship Id="rId13" Type="http://schemas.openxmlformats.org/officeDocument/2006/relationships/hyperlink" Target="https://www.zillow.com/homedetails/4986-Woodland-Dr-Saint-Petersburg-FL-33708/46965358_zpid/" TargetMode="External"/><Relationship Id="rId14" Type="http://schemas.openxmlformats.org/officeDocument/2006/relationships/hyperlink" Target="https://www.zillow.com/homedetails/9370-83rd-St-N-Seminole-FL-33777/47167326_zpid/" TargetMode="External"/><Relationship Id="rId15" Type="http://schemas.openxmlformats.org/officeDocument/2006/relationships/hyperlink" Target="https://www.zillow.com/homedetails/166-Pinellas-Way-N-Saint-Petersburg-FL-33710/47125023_zpid/" TargetMode="External"/><Relationship Id="rId16" Type="http://schemas.openxmlformats.org/officeDocument/2006/relationships/hyperlink" Target="https://www.zillow.com/homedetails/14626-Wildwood-Dr-Largo-FL-33774/47108046_zpid/" TargetMode="External"/><Relationship Id="rId17" Type="http://schemas.openxmlformats.org/officeDocument/2006/relationships/hyperlink" Target="https://www.zillow.com/homedetails/1600-Loretta-Ave-NW-Largo-FL-33770/47255803_zpid/" TargetMode="External"/><Relationship Id="rId18" Type="http://schemas.openxmlformats.org/officeDocument/2006/relationships/hyperlink" Target="https://www.zillow.com/homedetails/863-Bay-Breeze-Ter-Largo-FL-33770/46984239_zpid/" TargetMode="External"/><Relationship Id="rId19" Type="http://schemas.openxmlformats.org/officeDocument/2006/relationships/hyperlink" Target="https://www.zillow.com/homedetails/8628-Magnolia-Dr-Seminole-FL-33777/47167775_zpid/" TargetMode="External"/><Relationship Id="rId20" Type="http://schemas.openxmlformats.org/officeDocument/2006/relationships/hyperlink" Target="https://www.zillow.com/homedetails/839-3rd-St-N-Safety-Harbor-FL-34695/46963615_zpid/" TargetMode="External"/><Relationship Id="rId21" Type="http://schemas.openxmlformats.org/officeDocument/2006/relationships/hyperlink" Target="https://www.zillow.com/homedetails/505-N-Highland-Ave-Clearwater-FL-33755/47049070_zpid/" TargetMode="External"/><Relationship Id="rId22" Type="http://schemas.openxmlformats.org/officeDocument/2006/relationships/hyperlink" Target="https://www.zillow.com/homedetails/414-Tampa-Rd-Palm-Harbor-FL-34683/47048713_zpid/" TargetMode="External"/><Relationship Id="rId2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zillow.com/homedetails/326-NW-21st-Ter-Cape-Coral-FL-33993/102966471_zpid/" TargetMode="External"/><Relationship Id="rId2" Type="http://schemas.openxmlformats.org/officeDocument/2006/relationships/hyperlink" Target="https://www.zillow.com/homedetails/370-Townhouse-Ln-APT-65-Captiva-FL-33924/45395109_zpid/" TargetMode="External"/><Relationship Id="rId3" Type="http://schemas.openxmlformats.org/officeDocument/2006/relationships/hyperlink" Target="https://www.zillow.com/homedetails/10345-Longshore-Rd-UNIT-31-Placida-FL-33946/463230076_zpid/" TargetMode="External"/><Relationship Id="rId4" Type="http://schemas.openxmlformats.org/officeDocument/2006/relationships/hyperlink" Target="https://www.zillow.com/homedetails/2712-SW-4th-Place-Cpe-Coral-FL-33914/455169853_zpid/" TargetMode="External"/><Relationship Id="rId5" Type="http://schemas.openxmlformats.org/officeDocument/2006/relationships/hyperlink" Target="https://www.zillow.com/homedetails/1433-SE-28th-Ter-Cape-Coral-FL-33904/45531122_zpid/" TargetMode="External"/><Relationship Id="rId6" Type="http://schemas.openxmlformats.org/officeDocument/2006/relationships/hyperlink" Target="https://www.zillow.com/homedetails/4928-SW-1st-Ct-Cape-Coral-FL-33914/45441067_zpid/" TargetMode="External"/><Relationship Id="rId7" Type="http://schemas.openxmlformats.org/officeDocument/2006/relationships/hyperlink" Target="https://www.zillow.com/homedetails/2917-SW-Santa-Barbara-Pl-Cape-Coral-FL-33914/464974095_zpid/" TargetMode="External"/><Relationship Id="rId8" Type="http://schemas.openxmlformats.org/officeDocument/2006/relationships/hyperlink" Target="https://www.zillow.com/homedetails/3106-SE-8th-Pl-Cape-Coral-FL-33904/45531851_zpid/" TargetMode="External"/><Relationship Id="rId9" Type="http://schemas.openxmlformats.org/officeDocument/2006/relationships/hyperlink" Target="https://www.zillow.com/homedetails/1768-Whiskey-Creek-Dr-Fort-Myers-FL-33919/45446493_zpid/" TargetMode="External"/><Relationship Id="rId10" Type="http://schemas.openxmlformats.org/officeDocument/2006/relationships/hyperlink" Target="https://www.zillow.com/homedetails/951-Lassino-Ct-Punta-Gorda-FL-33950/43578868_zpid/" TargetMode="External"/><Relationship Id="rId11" Type="http://schemas.openxmlformats.org/officeDocument/2006/relationships/hyperlink" Target="https://www.zillow.com/homedetails/9277-Saint-Catherine-Ave-Englewood-FL-34224/43561455_zpid/" TargetMode="External"/><Relationship Id="rId12" Type="http://schemas.openxmlformats.org/officeDocument/2006/relationships/hyperlink" Target="https://www.zillow.com/homedetails/59-Wickliffe-Dr-Naples-FL-34110/43804624_zpid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zillow.com/" TargetMode="External"/><Relationship Id="rId2" Type="http://schemas.openxmlformats.org/officeDocument/2006/relationships/hyperlink" Target="https://www.redfin.com/" TargetMode="External"/><Relationship Id="rId3" Type="http://schemas.openxmlformats.org/officeDocument/2006/relationships/hyperlink" Target="https://www.theoffersheet.com/p/85k-revenue-on-this-584k-bradenton-str" TargetMode="External"/><Relationship Id="rId4" Type="http://schemas.openxmlformats.org/officeDocument/2006/relationships/hyperlink" Target="https://rabbu.com/airbnb-data/bradenton-fl" TargetMode="External"/><Relationship Id="rId5" Type="http://schemas.openxmlformats.org/officeDocument/2006/relationships/hyperlink" Target="https://www.airroi.com/" TargetMode="External"/><Relationship Id="rId6" Type="http://schemas.openxmlformats.org/officeDocument/2006/relationships/hyperlink" Target="https://angeloakms.com/programs/investor-cash-flow-mortgage-program/" TargetMode="External"/><Relationship Id="rId7" Type="http://schemas.openxmlformats.org/officeDocument/2006/relationships/hyperlink" Target="https://deephavenmortgage.com/dscr-short-term-rental" TargetMode="External"/><Relationship Id="rId8" Type="http://schemas.openxmlformats.org/officeDocument/2006/relationships/hyperlink" Target="https://fred.stlouisfed.org/graph/?g=1XU7Y" TargetMode="External"/><Relationship Id="rId9" Type="http://schemas.openxmlformats.org/officeDocument/2006/relationships/hyperlink" Target="https://news4jax.com/news/local/2025/09/16/flood-insurance-will-be-mandatory-for-most-citizens-property-insurance-policyholders-by-2027" TargetMode="External"/><Relationship Id="rId10" Type="http://schemas.openxmlformats.org/officeDocument/2006/relationships/hyperlink" Target="https://www.myrasm.com/q3-2026" TargetMode="External"/><Relationship Id="rId11" Type="http://schemas.openxmlformats.org/officeDocument/2006/relationships/hyperlink" Target="https://pinellas.gov/short-term-rental-certificate-of-use-faqs/" TargetMode="External"/><Relationship Id="rId12" Type="http://schemas.openxmlformats.org/officeDocument/2006/relationships/hyperlink" Target="https://www.mytreasureisland.org/residents/departments/community_development/short_term_rental_information.php" TargetMode="External"/><Relationship Id="rId13" Type="http://schemas.openxmlformats.org/officeDocument/2006/relationships/hyperlink" Target="https://www.wusf.org/economy-business/2026-07-29/record-spring-fuels-pinellas-county-tourism-growth" TargetMode="External"/><Relationship Id="rId14" Type="http://schemas.openxmlformats.org/officeDocument/2006/relationships/hyperlink" Target="https://pinellasrealtor.org/wp-content/uploads/2026/08/Pinellas-STAR-Monthly-Statistics-July-2026.pdf" TargetMode="External"/><Relationship Id="rId15" Type="http://schemas.openxmlformats.org/officeDocument/2006/relationships/hyperlink" Target="https://www.airroi.com/airbnb-data/united-states/florida/cape-coral" TargetMode="External"/><Relationship Id="rId16" Type="http://schemas.openxmlformats.org/officeDocument/2006/relationships/hyperlink" Target="https://www.capecoral.gov/news_detail_T4_R565.php" TargetMode="External"/><Relationship Id="rId17" Type="http://schemas.openxmlformats.org/officeDocument/2006/relationships/hyperlink" Target="https://www.fgcu.edu/cob/reri/dashboard/tourist-tax-revenues" TargetMode="External"/><Relationship Id="rId18" Type="http://schemas.openxmlformats.org/officeDocument/2006/relationships/hyperlink" Target="https://www.naplesgov.com/faqs/all/56161" TargetMode="External"/><Relationship Id="rId19" Type="http://schemas.openxmlformats.org/officeDocument/2006/relationships/hyperlink" Target="https://www.islander.org/?p=857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5" t="str">
        <f aca="false">'Manatee-Sarasota'!$B$6</f>
        <v>8404 43rd Ave Terrace W</v>
      </c>
      <c r="C5" s="5" t="str">
        <f aca="false">'Manatee-Sarasota'!$C$6</f>
        <v>Bradenton 34209</v>
      </c>
      <c r="D5" s="6" t="n">
        <f aca="false">'Manatee-Sarasota'!$H$6</f>
        <v>560000</v>
      </c>
      <c r="E5" s="6" t="n">
        <f aca="false">'Manatee-Sarasota'!$K$6</f>
        <v>85000</v>
      </c>
      <c r="F5" s="6" t="n">
        <f aca="false">'Manatee-Sarasota'!$V$6</f>
        <v>4315.14037623601</v>
      </c>
      <c r="G5" s="7" t="n">
        <f aca="false">'Manatee-Sarasota'!$W$6</f>
        <v>1.64150704629265</v>
      </c>
      <c r="H5" s="7" t="n">
        <f aca="false">'Manatee-Sarasota'!$X$6</f>
        <v>1.31320563703412</v>
      </c>
      <c r="I5" s="6" t="n">
        <f aca="false">'Manatee-Sarasota'!$Y$6</f>
        <v>145600</v>
      </c>
      <c r="J5" s="6" t="n">
        <f aca="false">'Manatee-Sarasota'!$AC$6</f>
        <v>-3831.68451483207</v>
      </c>
      <c r="K5" s="6" t="n">
        <f aca="false">'Manatee-Sarasota'!$AD$6</f>
        <v>-20831.6845148321</v>
      </c>
      <c r="L5" s="8" t="s">
        <v>15</v>
      </c>
    </row>
    <row r="6" customFormat="false" ht="15" hidden="false" customHeight="false" outlineLevel="0" collapsed="false">
      <c r="A6" s="4" t="s">
        <v>14</v>
      </c>
      <c r="B6" s="5" t="str">
        <f aca="false">'Manatee-Sarasota'!$B$7</f>
        <v>5318 17th St W (duplex)</v>
      </c>
      <c r="C6" s="5" t="str">
        <f aca="false">'Manatee-Sarasota'!$C$7</f>
        <v>Bradenton 34207</v>
      </c>
      <c r="D6" s="6" t="n">
        <f aca="false">'Manatee-Sarasota'!$H$7</f>
        <v>460000</v>
      </c>
      <c r="E6" s="6" t="n">
        <f aca="false">'Manatee-Sarasota'!$K$7</f>
        <v>73000</v>
      </c>
      <c r="F6" s="6" t="n">
        <f aca="false">'Manatee-Sarasota'!$V$7</f>
        <v>3678.50816619386</v>
      </c>
      <c r="G6" s="7" t="n">
        <f aca="false">'Manatee-Sarasota'!$W$7</f>
        <v>1.65375012328102</v>
      </c>
      <c r="H6" s="7" t="n">
        <f aca="false">'Manatee-Sarasota'!$X$7</f>
        <v>1.32300009862482</v>
      </c>
      <c r="I6" s="6" t="n">
        <f aca="false">'Manatee-Sarasota'!$Y$7</f>
        <v>133400</v>
      </c>
      <c r="J6" s="6" t="n">
        <f aca="false">'Manatee-Sarasota'!$AC$7</f>
        <v>-2432.09799432634</v>
      </c>
      <c r="K6" s="6" t="n">
        <f aca="false">'Manatee-Sarasota'!$AD$7</f>
        <v>-17032.0979943263</v>
      </c>
      <c r="L6" s="9" t="s">
        <v>16</v>
      </c>
    </row>
    <row r="7" customFormat="false" ht="15" hidden="false" customHeight="false" outlineLevel="0" collapsed="false">
      <c r="A7" s="4" t="s">
        <v>14</v>
      </c>
      <c r="B7" s="5" t="str">
        <f aca="false">'Manatee-Sarasota'!$B$8</f>
        <v>2801 23rd Ave W ("Beachin' Escape")</v>
      </c>
      <c r="C7" s="5" t="str">
        <f aca="false">'Manatee-Sarasota'!$C$8</f>
        <v>Bradenton 34205</v>
      </c>
      <c r="D7" s="6" t="n">
        <f aca="false">'Manatee-Sarasota'!$H$8</f>
        <v>600000</v>
      </c>
      <c r="E7" s="6" t="n">
        <f aca="false">'Manatee-Sarasota'!$K$8</f>
        <v>89000</v>
      </c>
      <c r="F7" s="6" t="n">
        <f aca="false">'Manatee-Sarasota'!$V$8</f>
        <v>4569.79326025286</v>
      </c>
      <c r="G7" s="7" t="n">
        <f aca="false">'Manatee-Sarasota'!$W$8</f>
        <v>1.62297641146599</v>
      </c>
      <c r="H7" s="7" t="n">
        <f aca="false">'Manatee-Sarasota'!$X$8</f>
        <v>1.29838112917279</v>
      </c>
      <c r="I7" s="6" t="n">
        <f aca="false">'Manatee-Sarasota'!$Y$8</f>
        <v>156000</v>
      </c>
      <c r="J7" s="6" t="n">
        <f aca="false">'Manatee-Sarasota'!$AC$8</f>
        <v>-4207.51912303436</v>
      </c>
      <c r="K7" s="6" t="n">
        <f aca="false">'Manatee-Sarasota'!$AD$8</f>
        <v>-22007.5191230344</v>
      </c>
      <c r="L7" s="9" t="s">
        <v>17</v>
      </c>
    </row>
    <row r="8" customFormat="false" ht="23.85" hidden="false" customHeight="false" outlineLevel="0" collapsed="false">
      <c r="A8" s="4" t="s">
        <v>18</v>
      </c>
      <c r="B8" s="5" t="str">
        <f aca="false">Pinellas!$B$6</f>
        <v>12565 81st Ave</v>
      </c>
      <c r="C8" s="5" t="str">
        <f aca="false">Pinellas!$C$6</f>
        <v>Seminole 33776</v>
      </c>
      <c r="D8" s="6" t="n">
        <f aca="false">Pinellas!$H$6</f>
        <v>485000</v>
      </c>
      <c r="E8" s="6" t="n">
        <f aca="false">Pinellas!$K$6</f>
        <v>71000</v>
      </c>
      <c r="F8" s="6" t="n">
        <f aca="false">Pinellas!$V$6</f>
        <v>3878.08288537106</v>
      </c>
      <c r="G8" s="7" t="n">
        <f aca="false">Pinellas!$W$6</f>
        <v>1.52566792447515</v>
      </c>
      <c r="H8" s="7" t="n">
        <f aca="false">Pinellas!$X$6</f>
        <v>1.22053433958012</v>
      </c>
      <c r="I8" s="6" t="n">
        <f aca="false">Pinellas!$Y$6</f>
        <v>140650</v>
      </c>
      <c r="J8" s="6" t="n">
        <f aca="false">Pinellas!$AC$6</f>
        <v>-7966.99462445278</v>
      </c>
      <c r="K8" s="6" t="n">
        <f aca="false">Pinellas!$AD$6</f>
        <v>-22166.9946244528</v>
      </c>
      <c r="L8" s="9" t="s">
        <v>19</v>
      </c>
    </row>
    <row r="9" customFormat="false" ht="23.85" hidden="false" customHeight="false" outlineLevel="0" collapsed="false">
      <c r="A9" s="4" t="s">
        <v>18</v>
      </c>
      <c r="B9" s="5" t="str">
        <f aca="false">Pinellas!$B$7</f>
        <v>4000 46th St N</v>
      </c>
      <c r="C9" s="5" t="str">
        <f aca="false">Pinellas!$C$7</f>
        <v>St Petersburg 33714</v>
      </c>
      <c r="D9" s="6" t="n">
        <f aca="false">Pinellas!$H$7</f>
        <v>485000</v>
      </c>
      <c r="E9" s="6" t="n">
        <f aca="false">Pinellas!$K$7</f>
        <v>85000</v>
      </c>
      <c r="F9" s="6" t="n">
        <f aca="false">Pinellas!$V$7</f>
        <v>3878.08288537106</v>
      </c>
      <c r="G9" s="7" t="n">
        <f aca="false">Pinellas!$W$7</f>
        <v>1.8265038532449</v>
      </c>
      <c r="H9" s="7" t="n">
        <f aca="false">Pinellas!$X$7</f>
        <v>1.46120308259592</v>
      </c>
      <c r="I9" s="6" t="n">
        <f aca="false">Pinellas!$Y$7</f>
        <v>140650</v>
      </c>
      <c r="J9" s="6" t="n">
        <f aca="false">Pinellas!$AC$7</f>
        <v>1413.00537554723</v>
      </c>
      <c r="K9" s="6" t="n">
        <f aca="false">Pinellas!$AD$7</f>
        <v>-15586.9946244528</v>
      </c>
      <c r="L9" s="9" t="s">
        <v>20</v>
      </c>
    </row>
    <row r="10" customFormat="false" ht="15" hidden="false" customHeight="false" outlineLevel="0" collapsed="false">
      <c r="A10" s="4" t="s">
        <v>18</v>
      </c>
      <c r="B10" s="5" t="str">
        <f aca="false">Pinellas!$B$8</f>
        <v>341 Wertz Dr</v>
      </c>
      <c r="C10" s="5" t="str">
        <f aca="false">Pinellas!$C$8</f>
        <v>Largo 33771</v>
      </c>
      <c r="D10" s="6" t="n">
        <f aca="false">Pinellas!$H$8</f>
        <v>340000</v>
      </c>
      <c r="E10" s="6" t="n">
        <f aca="false">Pinellas!$K$8</f>
        <v>51000</v>
      </c>
      <c r="F10" s="6" t="n">
        <f aca="false">Pinellas!$V$8</f>
        <v>2942.88284747662</v>
      </c>
      <c r="G10" s="7" t="n">
        <f aca="false">Pinellas!$W$8</f>
        <v>1.4441621431326</v>
      </c>
      <c r="H10" s="7" t="n">
        <f aca="false">Pinellas!$X$8</f>
        <v>1.15532971450608</v>
      </c>
      <c r="I10" s="6" t="n">
        <f aca="false">Pinellas!$Y$8</f>
        <v>98600</v>
      </c>
      <c r="J10" s="6" t="n">
        <f aca="false">Pinellas!$AC$8</f>
        <v>-8344.59416971947</v>
      </c>
      <c r="K10" s="6" t="n">
        <f aca="false">Pinellas!$AD$8</f>
        <v>-18544.5941697195</v>
      </c>
      <c r="L10" s="9" t="s">
        <v>21</v>
      </c>
    </row>
    <row r="11" customFormat="false" ht="23.85" hidden="false" customHeight="false" outlineLevel="0" collapsed="false">
      <c r="A11" s="4" t="s">
        <v>22</v>
      </c>
      <c r="B11" s="5" t="str">
        <f aca="false">'Other SWFL Listings'!$B$6</f>
        <v>326 NW 21st Ter</v>
      </c>
      <c r="C11" s="5" t="str">
        <f aca="false">'Other SWFL Listings'!$C$6</f>
        <v>Cape Coral 33993</v>
      </c>
      <c r="D11" s="6" t="n">
        <f aca="false">'Other SWFL Listings'!$H$6</f>
        <v>460000</v>
      </c>
      <c r="E11" s="6" t="n">
        <f aca="false">'Other SWFL Listings'!$K$6</f>
        <v>60000</v>
      </c>
      <c r="F11" s="6" t="n">
        <f aca="false">'Other SWFL Listings'!$V$6</f>
        <v>3755.17483286053</v>
      </c>
      <c r="G11" s="7" t="n">
        <f aca="false">'Other SWFL Listings'!$W$6</f>
        <v>1.33149592829776</v>
      </c>
      <c r="H11" s="7" t="n">
        <f aca="false">'Other SWFL Listings'!$X$6</f>
        <v>1.0651967426382</v>
      </c>
      <c r="I11" s="6" t="n">
        <f aca="false">'Other SWFL Listings'!$Y$6</f>
        <v>133400</v>
      </c>
      <c r="J11" s="6" t="n">
        <f aca="false">'Other SWFL Listings'!$AC$6</f>
        <v>-13862.0979943264</v>
      </c>
      <c r="K11" s="6" t="n">
        <f aca="false">'Other SWFL Listings'!$AD$6</f>
        <v>-25862.0979943264</v>
      </c>
      <c r="L11" s="9" t="s">
        <v>23</v>
      </c>
    </row>
    <row r="13" customFormat="false" ht="15" hidden="false" customHeight="false" outlineLevel="0" collapsed="false">
      <c r="A13" s="10" t="s">
        <v>24</v>
      </c>
    </row>
    <row r="14" customFormat="false" ht="27.75" hidden="false" customHeight="true" outlineLevel="0" collapsed="false">
      <c r="A14" s="11" t="s">
        <v>25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 customFormat="false" ht="27.75" hidden="false" customHeight="true" outlineLevel="0" collapsed="false">
      <c r="A15" s="11" t="s">
        <v>26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6" customFormat="false" ht="27.75" hidden="false" customHeight="true" outlineLevel="0" collapsed="false">
      <c r="A16" s="11" t="s">
        <v>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27.75" hidden="false" customHeight="true" outlineLevel="0" collapsed="false">
      <c r="A17" s="11" t="s">
        <v>28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27.75" hidden="false" customHeight="true" outlineLevel="0" collapsed="false">
      <c r="A18" s="11" t="s">
        <v>29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27.75" hidden="false" customHeight="true" outlineLevel="0" collapsed="false">
      <c r="A19" s="11" t="s">
        <v>30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</sheetData>
  <mergeCells count="6">
    <mergeCell ref="A14:L14"/>
    <mergeCell ref="A15:L15"/>
    <mergeCell ref="A16:L16"/>
    <mergeCell ref="A17:L17"/>
    <mergeCell ref="A18:L18"/>
    <mergeCell ref="A19:L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8" min="3" style="0" width="14"/>
    <col collapsed="false" customWidth="true" hidden="false" outlineLevel="0" max="9" min="9" style="0" width="70"/>
  </cols>
  <sheetData>
    <row r="1" customFormat="false" ht="17.35" hidden="false" customHeight="false" outlineLevel="0" collapsed="false">
      <c r="B1" s="1" t="s">
        <v>31</v>
      </c>
    </row>
    <row r="2" customFormat="false" ht="15" hidden="false" customHeight="false" outlineLevel="0" collapsed="false">
      <c r="B2" s="2" t="s">
        <v>32</v>
      </c>
    </row>
    <row r="4" customFormat="false" ht="15" hidden="false" customHeight="false" outlineLevel="0" collapsed="false">
      <c r="B4" s="12" t="s">
        <v>33</v>
      </c>
      <c r="C4" s="12" t="s">
        <v>34</v>
      </c>
      <c r="I4" s="12" t="s">
        <v>35</v>
      </c>
    </row>
    <row r="5" customFormat="false" ht="15" hidden="false" customHeight="false" outlineLevel="0" collapsed="false">
      <c r="B5" s="4" t="s">
        <v>36</v>
      </c>
      <c r="C5" s="13" t="n">
        <v>800</v>
      </c>
      <c r="I5" s="14" t="s">
        <v>37</v>
      </c>
    </row>
    <row r="6" customFormat="false" ht="15" hidden="false" customHeight="false" outlineLevel="0" collapsed="false">
      <c r="B6" s="4" t="s">
        <v>38</v>
      </c>
      <c r="C6" s="15" t="n">
        <v>150000</v>
      </c>
      <c r="I6" s="14" t="s">
        <v>39</v>
      </c>
    </row>
    <row r="7" customFormat="false" ht="15" hidden="false" customHeight="false" outlineLevel="0" collapsed="false">
      <c r="B7" s="4" t="s">
        <v>40</v>
      </c>
      <c r="C7" s="15" t="n">
        <v>550000</v>
      </c>
      <c r="I7" s="14" t="s">
        <v>41</v>
      </c>
    </row>
    <row r="8" customFormat="false" ht="15" hidden="false" customHeight="false" outlineLevel="0" collapsed="false">
      <c r="B8" s="4" t="s">
        <v>42</v>
      </c>
      <c r="C8" s="15" t="n">
        <v>60000</v>
      </c>
      <c r="I8" s="14" t="s">
        <v>43</v>
      </c>
    </row>
    <row r="10" customFormat="false" ht="15" hidden="false" customHeight="false" outlineLevel="0" collapsed="false">
      <c r="B10" s="12" t="s">
        <v>44</v>
      </c>
      <c r="C10" s="12" t="s">
        <v>34</v>
      </c>
      <c r="I10" s="12" t="s">
        <v>35</v>
      </c>
    </row>
    <row r="11" customFormat="false" ht="15" hidden="false" customHeight="false" outlineLevel="0" collapsed="false">
      <c r="B11" s="4" t="s">
        <v>45</v>
      </c>
      <c r="C11" s="16" t="n">
        <v>0.075</v>
      </c>
      <c r="I11" s="14" t="s">
        <v>46</v>
      </c>
    </row>
    <row r="12" customFormat="false" ht="15" hidden="false" customHeight="false" outlineLevel="0" collapsed="false">
      <c r="B12" s="4" t="s">
        <v>47</v>
      </c>
      <c r="C12" s="16" t="n">
        <v>0.0725</v>
      </c>
      <c r="I12" s="14" t="s">
        <v>48</v>
      </c>
    </row>
    <row r="13" customFormat="false" ht="15" hidden="false" customHeight="false" outlineLevel="0" collapsed="false">
      <c r="B13" s="4" t="s">
        <v>49</v>
      </c>
      <c r="C13" s="16" t="n">
        <v>0.07125</v>
      </c>
      <c r="I13" s="14" t="s">
        <v>48</v>
      </c>
    </row>
    <row r="14" customFormat="false" ht="15" hidden="false" customHeight="false" outlineLevel="0" collapsed="false">
      <c r="B14" s="4" t="s">
        <v>50</v>
      </c>
      <c r="C14" s="13" t="n">
        <v>360</v>
      </c>
      <c r="I14" s="14" t="s">
        <v>51</v>
      </c>
    </row>
    <row r="15" customFormat="false" ht="15" hidden="false" customHeight="false" outlineLevel="0" collapsed="false">
      <c r="B15" s="4" t="s">
        <v>52</v>
      </c>
      <c r="C15" s="17" t="n">
        <v>0.25</v>
      </c>
      <c r="I15" s="14" t="s">
        <v>53</v>
      </c>
    </row>
    <row r="16" customFormat="false" ht="23.85" hidden="false" customHeight="false" outlineLevel="0" collapsed="false">
      <c r="B16" s="4" t="s">
        <v>54</v>
      </c>
      <c r="C16" s="18" t="n">
        <v>0.04</v>
      </c>
      <c r="I16" s="14" t="s">
        <v>55</v>
      </c>
    </row>
    <row r="17" customFormat="false" ht="15" hidden="false" customHeight="false" outlineLevel="0" collapsed="false">
      <c r="B17" s="4" t="s">
        <v>56</v>
      </c>
      <c r="C17" s="13" t="n">
        <v>6</v>
      </c>
      <c r="I17" s="14" t="s">
        <v>57</v>
      </c>
    </row>
    <row r="18" customFormat="false" ht="23.85" hidden="false" customHeight="false" outlineLevel="0" collapsed="false">
      <c r="B18" s="4" t="s">
        <v>58</v>
      </c>
      <c r="C18" s="18" t="n">
        <v>0.8</v>
      </c>
      <c r="I18" s="14" t="s">
        <v>59</v>
      </c>
    </row>
    <row r="19" customFormat="false" ht="23.85" hidden="false" customHeight="false" outlineLevel="0" collapsed="false">
      <c r="B19" s="4" t="s">
        <v>60</v>
      </c>
      <c r="C19" s="19" t="n">
        <v>7000</v>
      </c>
      <c r="I19" s="14" t="s">
        <v>61</v>
      </c>
    </row>
    <row r="21" customFormat="false" ht="15" hidden="false" customHeight="false" outlineLevel="0" collapsed="false">
      <c r="B21" s="12" t="s">
        <v>62</v>
      </c>
      <c r="C21" s="12" t="s">
        <v>63</v>
      </c>
      <c r="I21" s="12" t="s">
        <v>35</v>
      </c>
    </row>
    <row r="22" customFormat="false" ht="15" hidden="false" customHeight="false" outlineLevel="0" collapsed="false">
      <c r="B22" s="4" t="s">
        <v>64</v>
      </c>
      <c r="C22" s="19" t="n">
        <v>1000</v>
      </c>
      <c r="I22" s="14" t="s">
        <v>65</v>
      </c>
    </row>
    <row r="23" customFormat="false" ht="15" hidden="false" customHeight="false" outlineLevel="0" collapsed="false">
      <c r="B23" s="4" t="s">
        <v>66</v>
      </c>
      <c r="C23" s="19" t="n">
        <v>4500</v>
      </c>
      <c r="I23" s="14" t="s">
        <v>67</v>
      </c>
    </row>
    <row r="24" customFormat="false" ht="15" hidden="false" customHeight="false" outlineLevel="0" collapsed="false">
      <c r="B24" s="4" t="s">
        <v>68</v>
      </c>
      <c r="C24" s="19" t="n">
        <v>9000</v>
      </c>
      <c r="I24" s="14" t="s">
        <v>69</v>
      </c>
    </row>
    <row r="25" customFormat="false" ht="15" hidden="false" customHeight="false" outlineLevel="0" collapsed="false">
      <c r="B25" s="4" t="s">
        <v>70</v>
      </c>
      <c r="C25" s="19" t="n">
        <v>2000</v>
      </c>
      <c r="I25" s="14" t="s">
        <v>71</v>
      </c>
    </row>
    <row r="27" customFormat="false" ht="15" hidden="false" customHeight="false" outlineLevel="0" collapsed="false">
      <c r="B27" s="12" t="s">
        <v>72</v>
      </c>
      <c r="C27" s="12" t="s">
        <v>73</v>
      </c>
      <c r="D27" s="12" t="s">
        <v>74</v>
      </c>
      <c r="I27" s="12" t="s">
        <v>35</v>
      </c>
    </row>
    <row r="28" customFormat="false" ht="15" hidden="false" customHeight="false" outlineLevel="0" collapsed="false">
      <c r="B28" s="4" t="s">
        <v>75</v>
      </c>
      <c r="C28" s="20" t="n">
        <v>0.015</v>
      </c>
      <c r="D28" s="21" t="n">
        <f aca="false">$C$19</f>
        <v>7000</v>
      </c>
      <c r="I28" s="14" t="s">
        <v>76</v>
      </c>
    </row>
    <row r="29" customFormat="false" ht="15" hidden="false" customHeight="false" outlineLevel="0" collapsed="false">
      <c r="B29" s="4" t="s">
        <v>77</v>
      </c>
      <c r="C29" s="20" t="n">
        <v>0.0135</v>
      </c>
      <c r="D29" s="21" t="n">
        <f aca="false">$C$19</f>
        <v>7000</v>
      </c>
      <c r="I29" s="14" t="s">
        <v>78</v>
      </c>
    </row>
    <row r="30" customFormat="false" ht="15" hidden="false" customHeight="false" outlineLevel="0" collapsed="false">
      <c r="B30" s="4" t="s">
        <v>18</v>
      </c>
      <c r="C30" s="20" t="n">
        <v>0.016</v>
      </c>
      <c r="D30" s="21" t="n">
        <f aca="false">$C$19</f>
        <v>7000</v>
      </c>
      <c r="I30" s="14" t="s">
        <v>79</v>
      </c>
    </row>
    <row r="31" customFormat="false" ht="23.85" hidden="false" customHeight="false" outlineLevel="0" collapsed="false">
      <c r="B31" s="4" t="s">
        <v>80</v>
      </c>
      <c r="C31" s="20" t="n">
        <v>0.017</v>
      </c>
      <c r="D31" s="21" t="n">
        <f aca="false">$C$19</f>
        <v>7000</v>
      </c>
      <c r="I31" s="14" t="s">
        <v>81</v>
      </c>
    </row>
    <row r="32" customFormat="false" ht="15" hidden="false" customHeight="false" outlineLevel="0" collapsed="false">
      <c r="B32" s="4" t="s">
        <v>82</v>
      </c>
      <c r="C32" s="20" t="n">
        <v>0.0165</v>
      </c>
      <c r="D32" s="21" t="n">
        <f aca="false">$C$19</f>
        <v>7000</v>
      </c>
      <c r="I32" s="14" t="s">
        <v>83</v>
      </c>
    </row>
    <row r="33" customFormat="false" ht="15" hidden="false" customHeight="false" outlineLevel="0" collapsed="false">
      <c r="B33" s="4" t="s">
        <v>84</v>
      </c>
      <c r="C33" s="20" t="n">
        <v>0.014</v>
      </c>
      <c r="D33" s="21" t="n">
        <f aca="false">$C$19</f>
        <v>7000</v>
      </c>
      <c r="I33" s="14" t="s">
        <v>85</v>
      </c>
    </row>
    <row r="35" customFormat="false" ht="15" hidden="false" customHeight="false" outlineLevel="0" collapsed="false">
      <c r="B35" s="3" t="s">
        <v>86</v>
      </c>
      <c r="C35" s="3" t="s">
        <v>87</v>
      </c>
      <c r="D35" s="3" t="s">
        <v>88</v>
      </c>
      <c r="E35" s="3" t="s">
        <v>89</v>
      </c>
      <c r="F35" s="3" t="s">
        <v>90</v>
      </c>
      <c r="G35" s="3" t="s">
        <v>91</v>
      </c>
      <c r="H35" s="3" t="s">
        <v>92</v>
      </c>
      <c r="I35" s="12" t="s">
        <v>35</v>
      </c>
    </row>
    <row r="36" customFormat="false" ht="23.85" hidden="false" customHeight="false" outlineLevel="0" collapsed="false">
      <c r="B36" s="4" t="s">
        <v>93</v>
      </c>
      <c r="C36" s="18" t="n">
        <v>0.2</v>
      </c>
      <c r="D36" s="18" t="n">
        <v>0.1</v>
      </c>
      <c r="E36" s="18" t="n">
        <v>0.1</v>
      </c>
      <c r="F36" s="18" t="n">
        <v>0.08</v>
      </c>
      <c r="G36" s="18" t="n">
        <v>0.05</v>
      </c>
      <c r="H36" s="22" t="n">
        <f aca="false">SUM(D36:G36)</f>
        <v>0.33</v>
      </c>
      <c r="I36" s="14" t="s">
        <v>94</v>
      </c>
    </row>
    <row r="37" customFormat="false" ht="23.85" hidden="false" customHeight="false" outlineLevel="0" collapsed="false">
      <c r="B37" s="4" t="s">
        <v>95</v>
      </c>
      <c r="C37" s="18" t="n">
        <v>0.12</v>
      </c>
      <c r="D37" s="18" t="n">
        <v>0.02</v>
      </c>
      <c r="E37" s="18" t="n">
        <v>0.03</v>
      </c>
      <c r="F37" s="18" t="n">
        <v>0.06</v>
      </c>
      <c r="G37" s="18" t="n">
        <v>0.05</v>
      </c>
      <c r="H37" s="22" t="n">
        <f aca="false">SUM(D37:G37)</f>
        <v>0.16</v>
      </c>
      <c r="I37" s="14" t="s">
        <v>96</v>
      </c>
    </row>
    <row r="39" customFormat="false" ht="15" hidden="false" customHeight="false" outlineLevel="0" collapsed="false">
      <c r="B39" s="12" t="s">
        <v>97</v>
      </c>
      <c r="C39" s="12" t="s">
        <v>63</v>
      </c>
      <c r="I39" s="12" t="s">
        <v>35</v>
      </c>
    </row>
    <row r="40" customFormat="false" ht="15" hidden="false" customHeight="false" outlineLevel="0" collapsed="false">
      <c r="B40" s="4" t="s">
        <v>98</v>
      </c>
      <c r="C40" s="19" t="n">
        <v>6000</v>
      </c>
      <c r="I40" s="14" t="s">
        <v>99</v>
      </c>
    </row>
    <row r="41" customFormat="false" ht="15" hidden="false" customHeight="false" outlineLevel="0" collapsed="false">
      <c r="B41" s="4" t="s">
        <v>100</v>
      </c>
      <c r="C41" s="19" t="n">
        <v>3000</v>
      </c>
      <c r="I41" s="14"/>
    </row>
    <row r="42" customFormat="false" ht="15" hidden="false" customHeight="false" outlineLevel="0" collapsed="false">
      <c r="B42" s="4" t="s">
        <v>101</v>
      </c>
      <c r="C42" s="19" t="n">
        <v>1200</v>
      </c>
      <c r="I42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6" min="15" style="0" width="9"/>
    <col collapsed="false" customWidth="true" hidden="false" outlineLevel="0" max="17" min="17" style="0" width="12"/>
    <col collapsed="false" customWidth="true" hidden="false" outlineLevel="0" max="18" min="18" style="0" width="8"/>
    <col collapsed="false" customWidth="true" hidden="false" outlineLevel="0" max="21" min="19" style="0" width="10"/>
    <col collapsed="false" customWidth="true" hidden="false" outlineLevel="0" max="22" min="22" style="0" width="11"/>
    <col collapsed="false" customWidth="true" hidden="false" outlineLevel="0" max="23" min="23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0" min="30" style="0" width="12"/>
    <col collapsed="false" customWidth="true" hidden="false" outlineLevel="0" max="32" min="31" style="0" width="8"/>
    <col collapsed="false" customWidth="true" hidden="false" outlineLevel="0" max="33" min="33" style="0" width="16"/>
    <col collapsed="false" customWidth="true" hidden="false" outlineLevel="0" max="34" min="34" style="0" width="6"/>
    <col collapsed="false" customWidth="true" hidden="false" outlineLevel="0" max="35" min="35" style="0" width="50"/>
    <col collapsed="false" customWidth="true" hidden="false" outlineLevel="0" max="36" min="36" style="0" width="1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103</v>
      </c>
    </row>
    <row r="3" customFormat="false" ht="15" hidden="false" customHeight="false" outlineLevel="0" collapsed="false">
      <c r="A3" s="2" t="s">
        <v>104</v>
      </c>
    </row>
    <row r="5" customFormat="false" ht="42" hidden="false" customHeight="true" outlineLevel="0" collapsed="false">
      <c r="A5" s="3" t="s">
        <v>105</v>
      </c>
      <c r="B5" s="3" t="s">
        <v>3</v>
      </c>
      <c r="C5" s="3" t="s">
        <v>4</v>
      </c>
      <c r="D5" s="3" t="s">
        <v>106</v>
      </c>
      <c r="E5" s="3" t="s">
        <v>107</v>
      </c>
      <c r="F5" s="3" t="s">
        <v>108</v>
      </c>
      <c r="G5" s="3" t="s">
        <v>109</v>
      </c>
      <c r="H5" s="3" t="s">
        <v>5</v>
      </c>
      <c r="I5" s="3" t="s">
        <v>110</v>
      </c>
      <c r="J5" s="3" t="s">
        <v>111</v>
      </c>
      <c r="K5" s="3" t="s">
        <v>112</v>
      </c>
      <c r="L5" s="3" t="s">
        <v>113</v>
      </c>
      <c r="M5" s="3" t="s">
        <v>114</v>
      </c>
      <c r="N5" s="3" t="s">
        <v>115</v>
      </c>
      <c r="O5" s="3" t="s">
        <v>116</v>
      </c>
      <c r="P5" s="3" t="s">
        <v>117</v>
      </c>
      <c r="Q5" s="23" t="s">
        <v>118</v>
      </c>
      <c r="R5" s="23" t="s">
        <v>119</v>
      </c>
      <c r="S5" s="23" t="s">
        <v>120</v>
      </c>
      <c r="T5" s="23" t="s">
        <v>121</v>
      </c>
      <c r="U5" s="23" t="s">
        <v>122</v>
      </c>
      <c r="V5" s="23" t="s">
        <v>7</v>
      </c>
      <c r="W5" s="23" t="s">
        <v>8</v>
      </c>
      <c r="X5" s="23" t="s">
        <v>9</v>
      </c>
      <c r="Y5" s="23" t="s">
        <v>10</v>
      </c>
      <c r="Z5" s="23" t="s">
        <v>123</v>
      </c>
      <c r="AA5" s="23" t="s">
        <v>124</v>
      </c>
      <c r="AB5" s="23" t="s">
        <v>125</v>
      </c>
      <c r="AC5" s="23" t="s">
        <v>11</v>
      </c>
      <c r="AD5" s="23" t="s">
        <v>12</v>
      </c>
      <c r="AE5" s="23" t="s">
        <v>126</v>
      </c>
      <c r="AF5" s="23" t="s">
        <v>127</v>
      </c>
      <c r="AG5" s="3" t="s">
        <v>128</v>
      </c>
      <c r="AH5" s="3" t="s">
        <v>129</v>
      </c>
      <c r="AI5" s="3" t="s">
        <v>130</v>
      </c>
      <c r="AJ5" s="3" t="s">
        <v>131</v>
      </c>
    </row>
    <row r="6" customFormat="false" ht="57.45" hidden="false" customHeight="false" outlineLevel="0" collapsed="false">
      <c r="A6" s="13" t="n">
        <v>1</v>
      </c>
      <c r="B6" s="24" t="s">
        <v>132</v>
      </c>
      <c r="C6" s="25" t="s">
        <v>133</v>
      </c>
      <c r="D6" s="26" t="s">
        <v>75</v>
      </c>
      <c r="E6" s="25" t="s">
        <v>134</v>
      </c>
      <c r="F6" s="25" t="s">
        <v>135</v>
      </c>
      <c r="G6" s="19" t="n">
        <v>584900</v>
      </c>
      <c r="H6" s="19" t="n">
        <v>560000</v>
      </c>
      <c r="I6" s="18" t="n">
        <v>0.03</v>
      </c>
      <c r="J6" s="27" t="n">
        <f aca="false">Assumptions!$C$15</f>
        <v>0.25</v>
      </c>
      <c r="K6" s="19" t="n">
        <v>85000</v>
      </c>
      <c r="L6" s="25" t="s">
        <v>136</v>
      </c>
      <c r="M6" s="26" t="s">
        <v>70</v>
      </c>
      <c r="N6" s="26" t="s">
        <v>137</v>
      </c>
      <c r="O6" s="19" t="n">
        <v>0</v>
      </c>
      <c r="P6" s="26" t="s">
        <v>93</v>
      </c>
      <c r="Q6" s="21" t="n">
        <f aca="false">H6*(1-J6)</f>
        <v>420000</v>
      </c>
      <c r="R6" s="28" t="n">
        <f aca="false">IF((1-J6)&gt;0.75,Assumptions!$C$11,IF((1-J6)&gt;0.7,Assumptions!$C$12,Assumptions!$C$13))</f>
        <v>0.0725</v>
      </c>
      <c r="S6" s="21" t="n">
        <f aca="false">PMT(R6/12,Assumptions!$C$14,-Q6)</f>
        <v>2865.14037623601</v>
      </c>
      <c r="T6" s="21" t="n">
        <f aca="false">H6*INDEX(Assumptions!$C$28:$C$33,MATCH(D6,Assumptions!$B$28:$B$33,0))/12</f>
        <v>700</v>
      </c>
      <c r="U6" s="21" t="n">
        <f aca="false">(INDEX(Assumptions!$D$28:$D$33,MATCH(D6,Assumptions!$B$28:$B$33,0))+INDEX(Assumptions!$C$22:$C$25,MATCH(M6,Assumptions!$B$22:$B$25,0)))/12</f>
        <v>750</v>
      </c>
      <c r="V6" s="21" t="n">
        <f aca="false">S6+T6+U6+O6</f>
        <v>4315.14037623601</v>
      </c>
      <c r="W6" s="29" t="n">
        <f aca="false">IFERROR(K6/12/V6,0)</f>
        <v>1.64150704629265</v>
      </c>
      <c r="X6" s="30" t="n">
        <f aca="false">IFERROR(K6*Assumptions!$C$18/12/V6,0)</f>
        <v>1.31320563703412</v>
      </c>
      <c r="Y6" s="31" t="n">
        <f aca="false">H6*J6+H6*(Assumptions!$C$16-I6)</f>
        <v>145600</v>
      </c>
      <c r="Z6" s="21" t="n">
        <f aca="false">V6*Assumptions!$C$17</f>
        <v>25890.842257416</v>
      </c>
      <c r="AA6" s="21" t="n">
        <f aca="false">K6*INDEX(Assumptions!$H$36:$H$37,MATCH(P6,Assumptions!$B$36:$B$37,0))+Assumptions!$C$40+IF(N6="Y",Assumptions!$C$41,Assumptions!$C$42)</f>
        <v>37050</v>
      </c>
      <c r="AB6" s="21" t="n">
        <f aca="false">K6*INDEX(Assumptions!$C$36:$C$37,MATCH(P6,Assumptions!$B$36:$B$37,0))</f>
        <v>17000</v>
      </c>
      <c r="AC6" s="21" t="n">
        <f aca="false">K6-AA6-V6*12</f>
        <v>-3831.68451483207</v>
      </c>
      <c r="AD6" s="21" t="n">
        <f aca="false">AC6-AB6</f>
        <v>-20831.6845148321</v>
      </c>
      <c r="AE6" s="22" t="n">
        <f aca="false">IFERROR(K6/H6,0)</f>
        <v>0.151785714285714</v>
      </c>
      <c r="AF6" s="22" t="n">
        <f aca="false">IFERROR((K6-AA6-AB6)/H6,0)</f>
        <v>0.0552678571428571</v>
      </c>
      <c r="AG6" s="25" t="s">
        <v>138</v>
      </c>
      <c r="AH6" s="13" t="n">
        <v>21</v>
      </c>
      <c r="AI6" s="25" t="s">
        <v>139</v>
      </c>
      <c r="AJ6" s="32" t="s">
        <v>140</v>
      </c>
    </row>
    <row r="7" customFormat="false" ht="35.05" hidden="false" customHeight="false" outlineLevel="0" collapsed="false">
      <c r="A7" s="33" t="n">
        <v>2</v>
      </c>
      <c r="B7" s="24" t="s">
        <v>141</v>
      </c>
      <c r="C7" s="34" t="s">
        <v>142</v>
      </c>
      <c r="D7" s="35" t="s">
        <v>75</v>
      </c>
      <c r="E7" s="34" t="s">
        <v>143</v>
      </c>
      <c r="F7" s="34" t="s">
        <v>144</v>
      </c>
      <c r="G7" s="36" t="n">
        <v>475000</v>
      </c>
      <c r="H7" s="36" t="n">
        <v>460000</v>
      </c>
      <c r="I7" s="37" t="n">
        <v>0</v>
      </c>
      <c r="J7" s="38" t="n">
        <f aca="false">Assumptions!$C$15</f>
        <v>0.25</v>
      </c>
      <c r="K7" s="36" t="n">
        <v>73000</v>
      </c>
      <c r="L7" s="34" t="s">
        <v>145</v>
      </c>
      <c r="M7" s="35" t="s">
        <v>70</v>
      </c>
      <c r="N7" s="35" t="s">
        <v>146</v>
      </c>
      <c r="O7" s="36" t="n">
        <v>0</v>
      </c>
      <c r="P7" s="35" t="s">
        <v>93</v>
      </c>
      <c r="Q7" s="39" t="n">
        <f aca="false">H7*(1-J7)</f>
        <v>345000</v>
      </c>
      <c r="R7" s="40" t="n">
        <f aca="false">IF((1-J7)&gt;0.75,Assumptions!$C$11,IF((1-J7)&gt;0.7,Assumptions!$C$12,Assumptions!$C$13))</f>
        <v>0.0725</v>
      </c>
      <c r="S7" s="39" t="n">
        <f aca="false">PMT(R7/12,Assumptions!$C$14,-Q7)</f>
        <v>2353.50816619386</v>
      </c>
      <c r="T7" s="39" t="n">
        <f aca="false">H7*INDEX(Assumptions!$C$28:$C$33,MATCH(D7,Assumptions!$B$28:$B$33,0))/12</f>
        <v>575</v>
      </c>
      <c r="U7" s="39" t="n">
        <f aca="false">(INDEX(Assumptions!$D$28:$D$33,MATCH(D7,Assumptions!$B$28:$B$33,0))+INDEX(Assumptions!$C$22:$C$25,MATCH(M7,Assumptions!$B$22:$B$25,0)))/12</f>
        <v>750</v>
      </c>
      <c r="V7" s="39" t="n">
        <f aca="false">S7+T7+U7+O7</f>
        <v>3678.50816619386</v>
      </c>
      <c r="W7" s="41" t="n">
        <f aca="false">IFERROR(K7/12/V7,0)</f>
        <v>1.65375012328102</v>
      </c>
      <c r="X7" s="30" t="n">
        <f aca="false">IFERROR(K7*Assumptions!$C$18/12/V7,0)</f>
        <v>1.32300009862482</v>
      </c>
      <c r="Y7" s="31" t="n">
        <f aca="false">H7*J7+H7*(Assumptions!$C$16-I7)</f>
        <v>133400</v>
      </c>
      <c r="Z7" s="39" t="n">
        <f aca="false">V7*Assumptions!$C$17</f>
        <v>22071.0489971632</v>
      </c>
      <c r="AA7" s="39" t="n">
        <f aca="false">K7*INDEX(Assumptions!$H$36:$H$37,MATCH(P7,Assumptions!$B$36:$B$37,0))+Assumptions!$C$40+IF(N7="Y",Assumptions!$C$41,Assumptions!$C$42)</f>
        <v>31290</v>
      </c>
      <c r="AB7" s="39" t="n">
        <f aca="false">K7*INDEX(Assumptions!$C$36:$C$37,MATCH(P7,Assumptions!$B$36:$B$37,0))</f>
        <v>14600</v>
      </c>
      <c r="AC7" s="39" t="n">
        <f aca="false">K7-AA7-V7*12</f>
        <v>-2432.09799432634</v>
      </c>
      <c r="AD7" s="39" t="n">
        <f aca="false">AC7-AB7</f>
        <v>-17032.0979943263</v>
      </c>
      <c r="AE7" s="42" t="n">
        <f aca="false">IFERROR(K7/H7,0)</f>
        <v>0.158695652173913</v>
      </c>
      <c r="AF7" s="42" t="n">
        <f aca="false">IFERROR((K7-AA7-AB7)/H7,0)</f>
        <v>0.0589347826086957</v>
      </c>
      <c r="AG7" s="34" t="s">
        <v>147</v>
      </c>
      <c r="AH7" s="33" t="n">
        <v>14</v>
      </c>
      <c r="AI7" s="34" t="s">
        <v>148</v>
      </c>
      <c r="AJ7" s="43" t="s">
        <v>140</v>
      </c>
    </row>
    <row r="8" customFormat="false" ht="46.25" hidden="false" customHeight="false" outlineLevel="0" collapsed="false">
      <c r="A8" s="13" t="n">
        <v>3</v>
      </c>
      <c r="B8" s="24" t="s">
        <v>149</v>
      </c>
      <c r="C8" s="25" t="s">
        <v>150</v>
      </c>
      <c r="D8" s="26" t="s">
        <v>75</v>
      </c>
      <c r="E8" s="25" t="s">
        <v>134</v>
      </c>
      <c r="F8" s="25" t="s">
        <v>151</v>
      </c>
      <c r="G8" s="19" t="n">
        <v>645000</v>
      </c>
      <c r="H8" s="19" t="n">
        <v>600000</v>
      </c>
      <c r="I8" s="18" t="n">
        <v>0.03</v>
      </c>
      <c r="J8" s="27" t="n">
        <f aca="false">Assumptions!$C$15</f>
        <v>0.25</v>
      </c>
      <c r="K8" s="19" t="n">
        <v>89000</v>
      </c>
      <c r="L8" s="25" t="s">
        <v>152</v>
      </c>
      <c r="M8" s="26" t="s">
        <v>70</v>
      </c>
      <c r="N8" s="26" t="s">
        <v>137</v>
      </c>
      <c r="O8" s="19" t="n">
        <v>0</v>
      </c>
      <c r="P8" s="26" t="s">
        <v>93</v>
      </c>
      <c r="Q8" s="21" t="n">
        <f aca="false">H8*(1-J8)</f>
        <v>450000</v>
      </c>
      <c r="R8" s="28" t="n">
        <f aca="false">IF((1-J8)&gt;0.75,Assumptions!$C$11,IF((1-J8)&gt;0.7,Assumptions!$C$12,Assumptions!$C$13))</f>
        <v>0.0725</v>
      </c>
      <c r="S8" s="21" t="n">
        <f aca="false">PMT(R8/12,Assumptions!$C$14,-Q8)</f>
        <v>3069.79326025286</v>
      </c>
      <c r="T8" s="21" t="n">
        <f aca="false">H8*INDEX(Assumptions!$C$28:$C$33,MATCH(D8,Assumptions!$B$28:$B$33,0))/12</f>
        <v>750</v>
      </c>
      <c r="U8" s="21" t="n">
        <f aca="false">(INDEX(Assumptions!$D$28:$D$33,MATCH(D8,Assumptions!$B$28:$B$33,0))+INDEX(Assumptions!$C$22:$C$25,MATCH(M8,Assumptions!$B$22:$B$25,0)))/12</f>
        <v>750</v>
      </c>
      <c r="V8" s="21" t="n">
        <f aca="false">S8+T8+U8+O8</f>
        <v>4569.79326025286</v>
      </c>
      <c r="W8" s="29" t="n">
        <f aca="false">IFERROR(K8/12/V8,0)</f>
        <v>1.62297641146599</v>
      </c>
      <c r="X8" s="30" t="n">
        <f aca="false">IFERROR(K8*Assumptions!$C$18/12/V8,0)</f>
        <v>1.29838112917279</v>
      </c>
      <c r="Y8" s="31" t="n">
        <f aca="false">H8*J8+H8*(Assumptions!$C$16-I8)</f>
        <v>156000</v>
      </c>
      <c r="Z8" s="21" t="n">
        <f aca="false">V8*Assumptions!$C$17</f>
        <v>27418.7595615172</v>
      </c>
      <c r="AA8" s="21" t="n">
        <f aca="false">K8*INDEX(Assumptions!$H$36:$H$37,MATCH(P8,Assumptions!$B$36:$B$37,0))+Assumptions!$C$40+IF(N8="Y",Assumptions!$C$41,Assumptions!$C$42)</f>
        <v>38370</v>
      </c>
      <c r="AB8" s="21" t="n">
        <f aca="false">K8*INDEX(Assumptions!$C$36:$C$37,MATCH(P8,Assumptions!$B$36:$B$37,0))</f>
        <v>17800</v>
      </c>
      <c r="AC8" s="21" t="n">
        <f aca="false">K8-AA8-V8*12</f>
        <v>-4207.51912303436</v>
      </c>
      <c r="AD8" s="21" t="n">
        <f aca="false">AC8-AB8</f>
        <v>-22007.5191230344</v>
      </c>
      <c r="AE8" s="22" t="n">
        <f aca="false">IFERROR(K8/H8,0)</f>
        <v>0.148333333333333</v>
      </c>
      <c r="AF8" s="22" t="n">
        <f aca="false">IFERROR((K8-AA8-AB8)/H8,0)</f>
        <v>0.0547166666666667</v>
      </c>
      <c r="AG8" s="25" t="s">
        <v>153</v>
      </c>
      <c r="AH8" s="13" t="n">
        <v>23</v>
      </c>
      <c r="AI8" s="25" t="s">
        <v>154</v>
      </c>
      <c r="AJ8" s="32" t="s">
        <v>140</v>
      </c>
    </row>
    <row r="9" customFormat="false" ht="35.05" hidden="false" customHeight="false" outlineLevel="0" collapsed="false">
      <c r="A9" s="33" t="n">
        <v>4</v>
      </c>
      <c r="B9" s="34" t="s">
        <v>155</v>
      </c>
      <c r="C9" s="34" t="s">
        <v>156</v>
      </c>
      <c r="D9" s="35" t="s">
        <v>77</v>
      </c>
      <c r="E9" s="34" t="s">
        <v>143</v>
      </c>
      <c r="F9" s="34" t="s">
        <v>157</v>
      </c>
      <c r="G9" s="36" t="n">
        <v>475000</v>
      </c>
      <c r="H9" s="36" t="n">
        <v>455000</v>
      </c>
      <c r="I9" s="37" t="n">
        <v>0</v>
      </c>
      <c r="J9" s="38" t="n">
        <f aca="false">Assumptions!$C$15</f>
        <v>0.25</v>
      </c>
      <c r="K9" s="36" t="n">
        <v>60000</v>
      </c>
      <c r="L9" s="34" t="s">
        <v>158</v>
      </c>
      <c r="M9" s="35" t="s">
        <v>64</v>
      </c>
      <c r="N9" s="35" t="s">
        <v>146</v>
      </c>
      <c r="O9" s="36" t="n">
        <v>0</v>
      </c>
      <c r="P9" s="35" t="s">
        <v>93</v>
      </c>
      <c r="Q9" s="39" t="n">
        <f aca="false">H9*(1-J9)</f>
        <v>341250</v>
      </c>
      <c r="R9" s="40" t="n">
        <f aca="false">IF((1-J9)&gt;0.75,Assumptions!$C$11,IF((1-J9)&gt;0.7,Assumptions!$C$12,Assumptions!$C$13))</f>
        <v>0.0725</v>
      </c>
      <c r="S9" s="39" t="n">
        <f aca="false">PMT(R9/12,Assumptions!$C$14,-Q9)</f>
        <v>2327.92655569175</v>
      </c>
      <c r="T9" s="39" t="n">
        <f aca="false">H9*INDEX(Assumptions!$C$28:$C$33,MATCH(D9,Assumptions!$B$28:$B$33,0))/12</f>
        <v>511.875</v>
      </c>
      <c r="U9" s="39" t="n">
        <f aca="false">(INDEX(Assumptions!$D$28:$D$33,MATCH(D9,Assumptions!$B$28:$B$33,0))+INDEX(Assumptions!$C$22:$C$25,MATCH(M9,Assumptions!$B$22:$B$25,0)))/12</f>
        <v>666.666666666667</v>
      </c>
      <c r="V9" s="39" t="n">
        <f aca="false">S9+T9+U9+O9</f>
        <v>3506.46822235842</v>
      </c>
      <c r="W9" s="41" t="n">
        <f aca="false">IFERROR(K9/12/V9,0)</f>
        <v>1.42593620786817</v>
      </c>
      <c r="X9" s="41" t="n">
        <f aca="false">IFERROR(K9*Assumptions!$C$18/12/V9,0)</f>
        <v>1.14074896629453</v>
      </c>
      <c r="Y9" s="39" t="n">
        <f aca="false">H9*J9+H9*(Assumptions!$C$16-I9)</f>
        <v>131950</v>
      </c>
      <c r="Z9" s="39" t="n">
        <f aca="false">V9*Assumptions!$C$17</f>
        <v>21038.8093341505</v>
      </c>
      <c r="AA9" s="39" t="n">
        <f aca="false">K9*INDEX(Assumptions!$H$36:$H$37,MATCH(P9,Assumptions!$B$36:$B$37,0))+Assumptions!$C$40+IF(N9="Y",Assumptions!$C$41,Assumptions!$C$42)</f>
        <v>27000</v>
      </c>
      <c r="AB9" s="39" t="n">
        <f aca="false">K9*INDEX(Assumptions!$C$36:$C$37,MATCH(P9,Assumptions!$B$36:$B$37,0))</f>
        <v>12000</v>
      </c>
      <c r="AC9" s="39" t="n">
        <f aca="false">K9-AA9-V9*12</f>
        <v>-9077.61866830105</v>
      </c>
      <c r="AD9" s="39" t="n">
        <f aca="false">AC9-AB9</f>
        <v>-21077.6186683011</v>
      </c>
      <c r="AE9" s="42" t="n">
        <f aca="false">IFERROR(K9/H9,0)</f>
        <v>0.131868131868132</v>
      </c>
      <c r="AF9" s="42" t="n">
        <f aca="false">IFERROR((K9-AA9-AB9)/H9,0)</f>
        <v>0.0461538461538462</v>
      </c>
      <c r="AG9" s="34" t="s">
        <v>159</v>
      </c>
      <c r="AH9" s="33" t="n">
        <v>78</v>
      </c>
      <c r="AI9" s="34" t="s">
        <v>160</v>
      </c>
      <c r="AJ9" s="43" t="s">
        <v>140</v>
      </c>
    </row>
    <row r="10" customFormat="false" ht="35.05" hidden="false" customHeight="false" outlineLevel="0" collapsed="false">
      <c r="A10" s="13" t="n">
        <v>5</v>
      </c>
      <c r="B10" s="25" t="s">
        <v>161</v>
      </c>
      <c r="C10" s="25" t="s">
        <v>150</v>
      </c>
      <c r="D10" s="26" t="s">
        <v>75</v>
      </c>
      <c r="E10" s="25" t="s">
        <v>134</v>
      </c>
      <c r="F10" s="25" t="s">
        <v>162</v>
      </c>
      <c r="G10" s="19" t="n">
        <v>474999</v>
      </c>
      <c r="H10" s="19" t="n">
        <v>474999</v>
      </c>
      <c r="I10" s="18" t="n">
        <v>0</v>
      </c>
      <c r="J10" s="27" t="n">
        <f aca="false">Assumptions!$C$15</f>
        <v>0.25</v>
      </c>
      <c r="K10" s="19" t="n">
        <v>54000</v>
      </c>
      <c r="L10" s="25" t="s">
        <v>163</v>
      </c>
      <c r="M10" s="26" t="s">
        <v>64</v>
      </c>
      <c r="N10" s="26" t="s">
        <v>137</v>
      </c>
      <c r="O10" s="19" t="n">
        <v>0</v>
      </c>
      <c r="P10" s="26" t="s">
        <v>93</v>
      </c>
      <c r="Q10" s="21" t="n">
        <f aca="false">H10*(1-J10)</f>
        <v>356249.25</v>
      </c>
      <c r="R10" s="28" t="n">
        <f aca="false">IF((1-J10)&gt;0.75,Assumptions!$C$11,IF((1-J10)&gt;0.7,Assumptions!$C$12,Assumptions!$C$13))</f>
        <v>0.0725</v>
      </c>
      <c r="S10" s="21" t="n">
        <f aca="false">PMT(R10/12,Assumptions!$C$14,-Q10)</f>
        <v>2430.24788137808</v>
      </c>
      <c r="T10" s="21" t="n">
        <f aca="false">H10*INDEX(Assumptions!$C$28:$C$33,MATCH(D10,Assumptions!$B$28:$B$33,0))/12</f>
        <v>593.74875</v>
      </c>
      <c r="U10" s="21" t="n">
        <f aca="false">(INDEX(Assumptions!$D$28:$D$33,MATCH(D10,Assumptions!$B$28:$B$33,0))+INDEX(Assumptions!$C$22:$C$25,MATCH(M10,Assumptions!$B$22:$B$25,0)))/12</f>
        <v>666.666666666667</v>
      </c>
      <c r="V10" s="21" t="n">
        <f aca="false">S10+T10+U10+O10</f>
        <v>3690.66329804475</v>
      </c>
      <c r="W10" s="29" t="n">
        <f aca="false">IFERROR(K10/12/V10,0)</f>
        <v>1.2192930204129</v>
      </c>
      <c r="X10" s="29" t="n">
        <f aca="false">IFERROR(K10*Assumptions!$C$18/12/V10,0)</f>
        <v>0.975434416330316</v>
      </c>
      <c r="Y10" s="21" t="n">
        <f aca="false">H10*J10+H10*(Assumptions!$C$16-I10)</f>
        <v>137749.71</v>
      </c>
      <c r="Z10" s="21" t="n">
        <f aca="false">V10*Assumptions!$C$17</f>
        <v>22143.9797882685</v>
      </c>
      <c r="AA10" s="21" t="n">
        <f aca="false">K10*INDEX(Assumptions!$H$36:$H$37,MATCH(P10,Assumptions!$B$36:$B$37,0))+Assumptions!$C$40+IF(N10="Y",Assumptions!$C$41,Assumptions!$C$42)</f>
        <v>26820</v>
      </c>
      <c r="AB10" s="21" t="n">
        <f aca="false">K10*INDEX(Assumptions!$C$36:$C$37,MATCH(P10,Assumptions!$B$36:$B$37,0))</f>
        <v>10800</v>
      </c>
      <c r="AC10" s="21" t="n">
        <f aca="false">K10-AA10-V10*12</f>
        <v>-17107.959576537</v>
      </c>
      <c r="AD10" s="21" t="n">
        <f aca="false">AC10-AB10</f>
        <v>-27907.959576537</v>
      </c>
      <c r="AE10" s="22" t="n">
        <f aca="false">IFERROR(K10/H10,0)</f>
        <v>0.113684449862</v>
      </c>
      <c r="AF10" s="22" t="n">
        <f aca="false">IFERROR((K10-AA10-AB10)/H10,0)</f>
        <v>0.0344842831248066</v>
      </c>
      <c r="AG10" s="25" t="s">
        <v>164</v>
      </c>
      <c r="AH10" s="13" t="n">
        <v>18</v>
      </c>
      <c r="AI10" s="25" t="s">
        <v>165</v>
      </c>
      <c r="AJ10" s="32" t="s">
        <v>140</v>
      </c>
    </row>
    <row r="11" customFormat="false" ht="23.85" hidden="false" customHeight="false" outlineLevel="0" collapsed="false">
      <c r="A11" s="33" t="n">
        <v>6</v>
      </c>
      <c r="B11" s="34" t="s">
        <v>166</v>
      </c>
      <c r="C11" s="34" t="s">
        <v>150</v>
      </c>
      <c r="D11" s="35" t="s">
        <v>75</v>
      </c>
      <c r="E11" s="34" t="s">
        <v>134</v>
      </c>
      <c r="F11" s="34" t="s">
        <v>167</v>
      </c>
      <c r="G11" s="36" t="n">
        <v>529000</v>
      </c>
      <c r="H11" s="36" t="n">
        <v>515000</v>
      </c>
      <c r="I11" s="37" t="n">
        <v>0</v>
      </c>
      <c r="J11" s="38" t="n">
        <f aca="false">Assumptions!$C$15</f>
        <v>0.25</v>
      </c>
      <c r="K11" s="36" t="n">
        <v>60000</v>
      </c>
      <c r="L11" s="34" t="s">
        <v>168</v>
      </c>
      <c r="M11" s="35" t="s">
        <v>70</v>
      </c>
      <c r="N11" s="35" t="s">
        <v>137</v>
      </c>
      <c r="O11" s="36" t="n">
        <v>0</v>
      </c>
      <c r="P11" s="35" t="s">
        <v>93</v>
      </c>
      <c r="Q11" s="39" t="n">
        <f aca="false">H11*(1-J11)</f>
        <v>386250</v>
      </c>
      <c r="R11" s="40" t="n">
        <f aca="false">IF((1-J11)&gt;0.75,Assumptions!$C$11,IF((1-J11)&gt;0.7,Assumptions!$C$12,Assumptions!$C$13))</f>
        <v>0.0725</v>
      </c>
      <c r="S11" s="39" t="n">
        <f aca="false">PMT(R11/12,Assumptions!$C$14,-Q11)</f>
        <v>2634.90588171704</v>
      </c>
      <c r="T11" s="39" t="n">
        <f aca="false">H11*INDEX(Assumptions!$C$28:$C$33,MATCH(D11,Assumptions!$B$28:$B$33,0))/12</f>
        <v>643.75</v>
      </c>
      <c r="U11" s="39" t="n">
        <f aca="false">(INDEX(Assumptions!$D$28:$D$33,MATCH(D11,Assumptions!$B$28:$B$33,0))+INDEX(Assumptions!$C$22:$C$25,MATCH(M11,Assumptions!$B$22:$B$25,0)))/12</f>
        <v>750</v>
      </c>
      <c r="V11" s="39" t="n">
        <f aca="false">S11+T11+U11+O11</f>
        <v>4028.65588171704</v>
      </c>
      <c r="W11" s="41" t="n">
        <f aca="false">IFERROR(K11/12/V11,0)</f>
        <v>1.24110873373205</v>
      </c>
      <c r="X11" s="41" t="n">
        <f aca="false">IFERROR(K11*Assumptions!$C$18/12/V11,0)</f>
        <v>0.992886986985638</v>
      </c>
      <c r="Y11" s="39" t="n">
        <f aca="false">H11*J11+H11*(Assumptions!$C$16-I11)</f>
        <v>149350</v>
      </c>
      <c r="Z11" s="39" t="n">
        <f aca="false">V11*Assumptions!$C$17</f>
        <v>24171.9352903022</v>
      </c>
      <c r="AA11" s="39" t="n">
        <f aca="false">K11*INDEX(Assumptions!$H$36:$H$37,MATCH(P11,Assumptions!$B$36:$B$37,0))+Assumptions!$C$40+IF(N11="Y",Assumptions!$C$41,Assumptions!$C$42)</f>
        <v>28800</v>
      </c>
      <c r="AB11" s="39" t="n">
        <f aca="false">K11*INDEX(Assumptions!$C$36:$C$37,MATCH(P11,Assumptions!$B$36:$B$37,0))</f>
        <v>12000</v>
      </c>
      <c r="AC11" s="39" t="n">
        <f aca="false">K11-AA11-V11*12</f>
        <v>-17143.8705806045</v>
      </c>
      <c r="AD11" s="39" t="n">
        <f aca="false">AC11-AB11</f>
        <v>-29143.8705806045</v>
      </c>
      <c r="AE11" s="42" t="n">
        <f aca="false">IFERROR(K11/H11,0)</f>
        <v>0.116504854368932</v>
      </c>
      <c r="AF11" s="42" t="n">
        <f aca="false">IFERROR((K11-AA11-AB11)/H11,0)</f>
        <v>0.0372815533980583</v>
      </c>
      <c r="AG11" s="34" t="s">
        <v>169</v>
      </c>
      <c r="AH11" s="33" t="n">
        <v>58</v>
      </c>
      <c r="AI11" s="34" t="s">
        <v>170</v>
      </c>
      <c r="AJ11" s="43" t="s">
        <v>140</v>
      </c>
    </row>
    <row r="12" customFormat="false" ht="23.85" hidden="false" customHeight="false" outlineLevel="0" collapsed="false">
      <c r="A12" s="13" t="n">
        <v>7</v>
      </c>
      <c r="B12" s="25" t="s">
        <v>171</v>
      </c>
      <c r="C12" s="25" t="s">
        <v>156</v>
      </c>
      <c r="D12" s="26" t="s">
        <v>77</v>
      </c>
      <c r="E12" s="25" t="s">
        <v>134</v>
      </c>
      <c r="F12" s="25" t="s">
        <v>172</v>
      </c>
      <c r="G12" s="19" t="n">
        <v>524900</v>
      </c>
      <c r="H12" s="19" t="n">
        <v>505000</v>
      </c>
      <c r="I12" s="18" t="n">
        <v>0</v>
      </c>
      <c r="J12" s="27" t="n">
        <f aca="false">Assumptions!$C$15</f>
        <v>0.25</v>
      </c>
      <c r="K12" s="19" t="n">
        <v>50157</v>
      </c>
      <c r="L12" s="25" t="s">
        <v>173</v>
      </c>
      <c r="M12" s="26" t="s">
        <v>64</v>
      </c>
      <c r="N12" s="26" t="s">
        <v>146</v>
      </c>
      <c r="O12" s="19" t="n">
        <v>0</v>
      </c>
      <c r="P12" s="26" t="s">
        <v>93</v>
      </c>
      <c r="Q12" s="21" t="n">
        <f aca="false">H12*(1-J12)</f>
        <v>378750</v>
      </c>
      <c r="R12" s="28" t="n">
        <f aca="false">IF((1-J12)&gt;0.75,Assumptions!$C$11,IF((1-J12)&gt;0.7,Assumptions!$C$12,Assumptions!$C$13))</f>
        <v>0.0725</v>
      </c>
      <c r="S12" s="21" t="n">
        <f aca="false">PMT(R12/12,Assumptions!$C$14,-Q12)</f>
        <v>2583.74266071283</v>
      </c>
      <c r="T12" s="21" t="n">
        <f aca="false">H12*INDEX(Assumptions!$C$28:$C$33,MATCH(D12,Assumptions!$B$28:$B$33,0))/12</f>
        <v>568.125</v>
      </c>
      <c r="U12" s="21" t="n">
        <f aca="false">(INDEX(Assumptions!$D$28:$D$33,MATCH(D12,Assumptions!$B$28:$B$33,0))+INDEX(Assumptions!$C$22:$C$25,MATCH(M12,Assumptions!$B$22:$B$25,0)))/12</f>
        <v>666.666666666667</v>
      </c>
      <c r="V12" s="21" t="n">
        <f aca="false">S12+T12+U12+O12</f>
        <v>3818.53432737949</v>
      </c>
      <c r="W12" s="29" t="n">
        <f aca="false">IFERROR(K12/12/V12,0)</f>
        <v>1.09459537132625</v>
      </c>
      <c r="X12" s="29" t="n">
        <f aca="false">IFERROR(K12*Assumptions!$C$18/12/V12,0)</f>
        <v>0.875676297061003</v>
      </c>
      <c r="Y12" s="21" t="n">
        <f aca="false">H12*J12+H12*(Assumptions!$C$16-I12)</f>
        <v>146450</v>
      </c>
      <c r="Z12" s="21" t="n">
        <f aca="false">V12*Assumptions!$C$17</f>
        <v>22911.205964277</v>
      </c>
      <c r="AA12" s="21" t="n">
        <f aca="false">K12*INDEX(Assumptions!$H$36:$H$37,MATCH(P12,Assumptions!$B$36:$B$37,0))+Assumptions!$C$40+IF(N12="Y",Assumptions!$C$41,Assumptions!$C$42)</f>
        <v>23751.81</v>
      </c>
      <c r="AB12" s="21" t="n">
        <f aca="false">K12*INDEX(Assumptions!$C$36:$C$37,MATCH(P12,Assumptions!$B$36:$B$37,0))</f>
        <v>10031.4</v>
      </c>
      <c r="AC12" s="21" t="n">
        <f aca="false">K12-AA12-V12*12</f>
        <v>-19417.2219285539</v>
      </c>
      <c r="AD12" s="21" t="n">
        <f aca="false">AC12-AB12</f>
        <v>-29448.6219285539</v>
      </c>
      <c r="AE12" s="22" t="n">
        <f aca="false">IFERROR(K12/H12,0)</f>
        <v>0.0993207920792079</v>
      </c>
      <c r="AF12" s="22" t="n">
        <f aca="false">IFERROR((K12-AA12-AB12)/H12,0)</f>
        <v>0.0324233465346535</v>
      </c>
      <c r="AG12" s="25" t="s">
        <v>174</v>
      </c>
      <c r="AH12" s="13" t="n">
        <v>16</v>
      </c>
      <c r="AI12" s="25" t="s">
        <v>175</v>
      </c>
      <c r="AJ12" s="32" t="s">
        <v>140</v>
      </c>
    </row>
    <row r="13" customFormat="false" ht="23.85" hidden="false" customHeight="false" outlineLevel="0" collapsed="false">
      <c r="A13" s="33" t="n">
        <v>8</v>
      </c>
      <c r="B13" s="34" t="s">
        <v>176</v>
      </c>
      <c r="C13" s="34" t="s">
        <v>133</v>
      </c>
      <c r="D13" s="35" t="s">
        <v>75</v>
      </c>
      <c r="E13" s="34" t="s">
        <v>134</v>
      </c>
      <c r="F13" s="34" t="s">
        <v>177</v>
      </c>
      <c r="G13" s="36" t="n">
        <v>550000</v>
      </c>
      <c r="H13" s="36" t="n">
        <v>530000</v>
      </c>
      <c r="I13" s="37" t="n">
        <v>0</v>
      </c>
      <c r="J13" s="38" t="n">
        <f aca="false">Assumptions!$C$15</f>
        <v>0.25</v>
      </c>
      <c r="K13" s="36" t="n">
        <v>48000</v>
      </c>
      <c r="L13" s="34" t="s">
        <v>178</v>
      </c>
      <c r="M13" s="35" t="s">
        <v>70</v>
      </c>
      <c r="N13" s="35" t="s">
        <v>137</v>
      </c>
      <c r="O13" s="36" t="n">
        <v>8</v>
      </c>
      <c r="P13" s="35" t="s">
        <v>93</v>
      </c>
      <c r="Q13" s="39" t="n">
        <f aca="false">H13*(1-J13)</f>
        <v>397500</v>
      </c>
      <c r="R13" s="40" t="n">
        <f aca="false">IF((1-J13)&gt;0.75,Assumptions!$C$11,IF((1-J13)&gt;0.7,Assumptions!$C$12,Assumptions!$C$13))</f>
        <v>0.0725</v>
      </c>
      <c r="S13" s="39" t="n">
        <f aca="false">PMT(R13/12,Assumptions!$C$14,-Q13)</f>
        <v>2711.65071322336</v>
      </c>
      <c r="T13" s="39" t="n">
        <f aca="false">H13*INDEX(Assumptions!$C$28:$C$33,MATCH(D13,Assumptions!$B$28:$B$33,0))/12</f>
        <v>662.5</v>
      </c>
      <c r="U13" s="39" t="n">
        <f aca="false">(INDEX(Assumptions!$D$28:$D$33,MATCH(D13,Assumptions!$B$28:$B$33,0))+INDEX(Assumptions!$C$22:$C$25,MATCH(M13,Assumptions!$B$22:$B$25,0)))/12</f>
        <v>750</v>
      </c>
      <c r="V13" s="39" t="n">
        <f aca="false">S13+T13+U13+O13</f>
        <v>4132.15071322336</v>
      </c>
      <c r="W13" s="41" t="n">
        <f aca="false">IFERROR(K13/12/V13,0)</f>
        <v>0.968018902892272</v>
      </c>
      <c r="X13" s="41" t="n">
        <f aca="false">IFERROR(K13*Assumptions!$C$18/12/V13,0)</f>
        <v>0.774415122313818</v>
      </c>
      <c r="Y13" s="39" t="n">
        <f aca="false">H13*J13+H13*(Assumptions!$C$16-I13)</f>
        <v>153700</v>
      </c>
      <c r="Z13" s="39" t="n">
        <f aca="false">V13*Assumptions!$C$17</f>
        <v>24792.9042793402</v>
      </c>
      <c r="AA13" s="39" t="n">
        <f aca="false">K13*INDEX(Assumptions!$H$36:$H$37,MATCH(P13,Assumptions!$B$36:$B$37,0))+Assumptions!$C$40+IF(N13="Y",Assumptions!$C$41,Assumptions!$C$42)</f>
        <v>24840</v>
      </c>
      <c r="AB13" s="39" t="n">
        <f aca="false">K13*INDEX(Assumptions!$C$36:$C$37,MATCH(P13,Assumptions!$B$36:$B$37,0))</f>
        <v>9600</v>
      </c>
      <c r="AC13" s="39" t="n">
        <f aca="false">K13-AA13-V13*12</f>
        <v>-26425.8085586803</v>
      </c>
      <c r="AD13" s="39" t="n">
        <f aca="false">AC13-AB13</f>
        <v>-36025.8085586803</v>
      </c>
      <c r="AE13" s="42" t="n">
        <f aca="false">IFERROR(K13/H13,0)</f>
        <v>0.0905660377358491</v>
      </c>
      <c r="AF13" s="42" t="n">
        <f aca="false">IFERROR((K13-AA13-AB13)/H13,0)</f>
        <v>0.0255849056603774</v>
      </c>
      <c r="AG13" s="34" t="s">
        <v>179</v>
      </c>
      <c r="AH13" s="33" t="n">
        <v>12</v>
      </c>
      <c r="AI13" s="34" t="s">
        <v>180</v>
      </c>
      <c r="AJ13" s="43" t="s">
        <v>140</v>
      </c>
    </row>
    <row r="14" customFormat="false" ht="23.85" hidden="false" customHeight="false" outlineLevel="0" collapsed="false">
      <c r="A14" s="13" t="n">
        <v>9</v>
      </c>
      <c r="B14" s="25" t="s">
        <v>181</v>
      </c>
      <c r="C14" s="25" t="s">
        <v>150</v>
      </c>
      <c r="D14" s="26" t="s">
        <v>75</v>
      </c>
      <c r="E14" s="25" t="s">
        <v>134</v>
      </c>
      <c r="F14" s="25" t="s">
        <v>182</v>
      </c>
      <c r="G14" s="19" t="n">
        <v>385000</v>
      </c>
      <c r="H14" s="19" t="n">
        <v>360000</v>
      </c>
      <c r="I14" s="18" t="n">
        <v>0</v>
      </c>
      <c r="J14" s="27" t="n">
        <f aca="false">Assumptions!$C$15</f>
        <v>0.25</v>
      </c>
      <c r="K14" s="19" t="n">
        <v>40000</v>
      </c>
      <c r="L14" s="25" t="s">
        <v>183</v>
      </c>
      <c r="M14" s="26" t="s">
        <v>64</v>
      </c>
      <c r="N14" s="26" t="s">
        <v>146</v>
      </c>
      <c r="O14" s="19" t="n">
        <v>0</v>
      </c>
      <c r="P14" s="26" t="s">
        <v>93</v>
      </c>
      <c r="Q14" s="21" t="n">
        <f aca="false">H14*(1-J14)</f>
        <v>270000</v>
      </c>
      <c r="R14" s="28" t="n">
        <f aca="false">IF((1-J14)&gt;0.75,Assumptions!$C$11,IF((1-J14)&gt;0.7,Assumptions!$C$12,Assumptions!$C$13))</f>
        <v>0.0725</v>
      </c>
      <c r="S14" s="21" t="n">
        <f aca="false">PMT(R14/12,Assumptions!$C$14,-Q14)</f>
        <v>1841.87595615172</v>
      </c>
      <c r="T14" s="21" t="n">
        <f aca="false">H14*INDEX(Assumptions!$C$28:$C$33,MATCH(D14,Assumptions!$B$28:$B$33,0))/12</f>
        <v>450</v>
      </c>
      <c r="U14" s="21" t="n">
        <f aca="false">(INDEX(Assumptions!$D$28:$D$33,MATCH(D14,Assumptions!$B$28:$B$33,0))+INDEX(Assumptions!$C$22:$C$25,MATCH(M14,Assumptions!$B$22:$B$25,0)))/12</f>
        <v>666.666666666667</v>
      </c>
      <c r="V14" s="21" t="n">
        <f aca="false">S14+T14+U14+O14</f>
        <v>2958.54262281838</v>
      </c>
      <c r="W14" s="29" t="n">
        <f aca="false">IFERROR(K14/12/V14,0)</f>
        <v>1.12668085550781</v>
      </c>
      <c r="X14" s="29" t="n">
        <f aca="false">IFERROR(K14*Assumptions!$C$18/12/V14,0)</f>
        <v>0.901344684406247</v>
      </c>
      <c r="Y14" s="21" t="n">
        <f aca="false">H14*J14+H14*(Assumptions!$C$16-I14)</f>
        <v>104400</v>
      </c>
      <c r="Z14" s="21" t="n">
        <f aca="false">V14*Assumptions!$C$17</f>
        <v>17751.2557369103</v>
      </c>
      <c r="AA14" s="21" t="n">
        <f aca="false">K14*INDEX(Assumptions!$H$36:$H$37,MATCH(P14,Assumptions!$B$36:$B$37,0))+Assumptions!$C$40+IF(N14="Y",Assumptions!$C$41,Assumptions!$C$42)</f>
        <v>20400</v>
      </c>
      <c r="AB14" s="21" t="n">
        <f aca="false">K14*INDEX(Assumptions!$C$36:$C$37,MATCH(P14,Assumptions!$B$36:$B$37,0))</f>
        <v>8000</v>
      </c>
      <c r="AC14" s="21" t="n">
        <f aca="false">K14-AA14-V14*12</f>
        <v>-15902.5114738206</v>
      </c>
      <c r="AD14" s="21" t="n">
        <f aca="false">AC14-AB14</f>
        <v>-23902.5114738206</v>
      </c>
      <c r="AE14" s="22" t="n">
        <f aca="false">IFERROR(K14/H14,0)</f>
        <v>0.111111111111111</v>
      </c>
      <c r="AF14" s="22" t="n">
        <f aca="false">IFERROR((K14-AA14-AB14)/H14,0)</f>
        <v>0.0322222222222222</v>
      </c>
      <c r="AG14" s="25" t="s">
        <v>184</v>
      </c>
      <c r="AH14" s="13" t="n">
        <v>214</v>
      </c>
      <c r="AI14" s="25" t="s">
        <v>185</v>
      </c>
      <c r="AJ14" s="32" t="s">
        <v>140</v>
      </c>
    </row>
    <row r="15" customFormat="false" ht="46.25" hidden="false" customHeight="false" outlineLevel="0" collapsed="false">
      <c r="A15" s="33" t="n">
        <v>10</v>
      </c>
      <c r="B15" s="34" t="s">
        <v>186</v>
      </c>
      <c r="C15" s="34" t="s">
        <v>187</v>
      </c>
      <c r="D15" s="35" t="s">
        <v>77</v>
      </c>
      <c r="E15" s="34" t="s">
        <v>188</v>
      </c>
      <c r="F15" s="34" t="s">
        <v>189</v>
      </c>
      <c r="G15" s="36" t="n">
        <v>655000</v>
      </c>
      <c r="H15" s="36" t="n">
        <v>655000</v>
      </c>
      <c r="I15" s="37" t="n">
        <v>0</v>
      </c>
      <c r="J15" s="38" t="n">
        <f aca="false">Assumptions!$C$15</f>
        <v>0.25</v>
      </c>
      <c r="K15" s="36" t="n">
        <v>102000</v>
      </c>
      <c r="L15" s="34" t="s">
        <v>190</v>
      </c>
      <c r="M15" s="35" t="s">
        <v>70</v>
      </c>
      <c r="N15" s="35" t="s">
        <v>146</v>
      </c>
      <c r="O15" s="36" t="n">
        <v>0</v>
      </c>
      <c r="P15" s="35" t="s">
        <v>95</v>
      </c>
      <c r="Q15" s="39" t="n">
        <f aca="false">H15*(1-J15)</f>
        <v>491250</v>
      </c>
      <c r="R15" s="40" t="n">
        <f aca="false">IF((1-J15)&gt;0.75,Assumptions!$C$11,IF((1-J15)&gt;0.7,Assumptions!$C$12,Assumptions!$C$13))</f>
        <v>0.0725</v>
      </c>
      <c r="S15" s="39" t="n">
        <f aca="false">PMT(R15/12,Assumptions!$C$14,-Q15)</f>
        <v>3351.19097577604</v>
      </c>
      <c r="T15" s="39" t="n">
        <f aca="false">H15*INDEX(Assumptions!$C$28:$C$33,MATCH(D15,Assumptions!$B$28:$B$33,0))/12</f>
        <v>736.875</v>
      </c>
      <c r="U15" s="39" t="n">
        <f aca="false">(INDEX(Assumptions!$D$28:$D$33,MATCH(D15,Assumptions!$B$28:$B$33,0))+INDEX(Assumptions!$C$22:$C$25,MATCH(M15,Assumptions!$B$22:$B$25,0)))/12</f>
        <v>750</v>
      </c>
      <c r="V15" s="39" t="n">
        <f aca="false">S15+T15+U15+O15</f>
        <v>4838.06597577604</v>
      </c>
      <c r="W15" s="41" t="n">
        <f aca="false">IFERROR(K15/12/V15,0)</f>
        <v>1.75690039006477</v>
      </c>
      <c r="X15" s="41" t="n">
        <f aca="false">IFERROR(K15*Assumptions!$C$18/12/V15,0)</f>
        <v>1.40552031205181</v>
      </c>
      <c r="Y15" s="39" t="n">
        <f aca="false">H15*J15+H15*(Assumptions!$C$16-I15)</f>
        <v>189950</v>
      </c>
      <c r="Z15" s="39" t="n">
        <f aca="false">V15*Assumptions!$C$17</f>
        <v>29028.3958546563</v>
      </c>
      <c r="AA15" s="39" t="n">
        <f aca="false">K15*INDEX(Assumptions!$H$36:$H$37,MATCH(P15,Assumptions!$B$36:$B$37,0))+Assumptions!$C$40+IF(N15="Y",Assumptions!$C$41,Assumptions!$C$42)</f>
        <v>23520</v>
      </c>
      <c r="AB15" s="39" t="n">
        <f aca="false">K15*INDEX(Assumptions!$C$36:$C$37,MATCH(P15,Assumptions!$B$36:$B$37,0))</f>
        <v>12240</v>
      </c>
      <c r="AC15" s="39" t="n">
        <f aca="false">K15-AA15-V15*12</f>
        <v>20423.2082906875</v>
      </c>
      <c r="AD15" s="39" t="n">
        <f aca="false">AC15-AB15</f>
        <v>8183.20829068749</v>
      </c>
      <c r="AE15" s="42" t="n">
        <f aca="false">IFERROR(K15/H15,0)</f>
        <v>0.155725190839695</v>
      </c>
      <c r="AF15" s="42" t="n">
        <f aca="false">IFERROR((K15-AA15-AB15)/H15,0)</f>
        <v>0.101129770992366</v>
      </c>
      <c r="AG15" s="34" t="s">
        <v>191</v>
      </c>
      <c r="AH15" s="33" t="n">
        <v>5</v>
      </c>
      <c r="AI15" s="34" t="s">
        <v>192</v>
      </c>
      <c r="AJ15" s="43" t="s">
        <v>140</v>
      </c>
    </row>
    <row r="16" customFormat="false" ht="23.85" hidden="false" customHeight="false" outlineLevel="0" collapsed="false">
      <c r="A16" s="13" t="n">
        <v>11</v>
      </c>
      <c r="B16" s="25" t="s">
        <v>193</v>
      </c>
      <c r="C16" s="25" t="s">
        <v>194</v>
      </c>
      <c r="D16" s="26" t="s">
        <v>75</v>
      </c>
      <c r="E16" s="25" t="s">
        <v>195</v>
      </c>
      <c r="F16" s="25" t="s">
        <v>196</v>
      </c>
      <c r="G16" s="19" t="n">
        <v>279000</v>
      </c>
      <c r="H16" s="19" t="n">
        <v>279000</v>
      </c>
      <c r="I16" s="18" t="n">
        <v>0</v>
      </c>
      <c r="J16" s="27" t="n">
        <f aca="false">Assumptions!$C$15</f>
        <v>0.25</v>
      </c>
      <c r="K16" s="19" t="n">
        <v>44000</v>
      </c>
      <c r="L16" s="25" t="s">
        <v>197</v>
      </c>
      <c r="M16" s="26" t="s">
        <v>70</v>
      </c>
      <c r="N16" s="26" t="s">
        <v>146</v>
      </c>
      <c r="O16" s="19" t="n">
        <v>477</v>
      </c>
      <c r="P16" s="26" t="s">
        <v>93</v>
      </c>
      <c r="Q16" s="21" t="n">
        <f aca="false">H16*(1-J16)</f>
        <v>209250</v>
      </c>
      <c r="R16" s="28" t="n">
        <f aca="false">IF((1-J16)&gt;0.75,Assumptions!$C$11,IF((1-J16)&gt;0.7,Assumptions!$C$12,Assumptions!$C$13))</f>
        <v>0.0725</v>
      </c>
      <c r="S16" s="21" t="n">
        <f aca="false">PMT(R16/12,Assumptions!$C$14,-Q16)</f>
        <v>1427.45386601758</v>
      </c>
      <c r="T16" s="21" t="n">
        <f aca="false">H16*INDEX(Assumptions!$C$28:$C$33,MATCH(D16,Assumptions!$B$28:$B$33,0))/12</f>
        <v>348.75</v>
      </c>
      <c r="U16" s="21" t="n">
        <f aca="false">(INDEX(Assumptions!$D$28:$D$33,MATCH(D16,Assumptions!$B$28:$B$33,0))+INDEX(Assumptions!$C$22:$C$25,MATCH(M16,Assumptions!$B$22:$B$25,0)))/12</f>
        <v>750</v>
      </c>
      <c r="V16" s="21" t="n">
        <f aca="false">S16+T16+U16+O16</f>
        <v>3003.20386601758</v>
      </c>
      <c r="W16" s="29" t="n">
        <f aca="false">IFERROR(K16/12/V16,0)</f>
        <v>1.22091833596661</v>
      </c>
      <c r="X16" s="29" t="n">
        <f aca="false">IFERROR(K16*Assumptions!$C$18/12/V16,0)</f>
        <v>0.976734668773286</v>
      </c>
      <c r="Y16" s="21" t="n">
        <f aca="false">H16*J16+H16*(Assumptions!$C$16-I16)</f>
        <v>80910</v>
      </c>
      <c r="Z16" s="21" t="n">
        <f aca="false">V16*Assumptions!$C$17</f>
        <v>18019.2231961055</v>
      </c>
      <c r="AA16" s="21" t="n">
        <f aca="false">K16*INDEX(Assumptions!$H$36:$H$37,MATCH(P16,Assumptions!$B$36:$B$37,0))+Assumptions!$C$40+IF(N16="Y",Assumptions!$C$41,Assumptions!$C$42)</f>
        <v>21720</v>
      </c>
      <c r="AB16" s="21" t="n">
        <f aca="false">K16*INDEX(Assumptions!$C$36:$C$37,MATCH(P16,Assumptions!$B$36:$B$37,0))</f>
        <v>8800</v>
      </c>
      <c r="AC16" s="21" t="n">
        <f aca="false">K16-AA16-V16*12</f>
        <v>-13758.446392211</v>
      </c>
      <c r="AD16" s="21" t="n">
        <f aca="false">AC16-AB16</f>
        <v>-22558.446392211</v>
      </c>
      <c r="AE16" s="22" t="n">
        <f aca="false">IFERROR(K16/H16,0)</f>
        <v>0.157706093189964</v>
      </c>
      <c r="AF16" s="22" t="n">
        <f aca="false">IFERROR((K16-AA16-AB16)/H16,0)</f>
        <v>0.0483154121863799</v>
      </c>
      <c r="AG16" s="25"/>
      <c r="AH16" s="13" t="n">
        <v>55</v>
      </c>
      <c r="AI16" s="25" t="s">
        <v>198</v>
      </c>
      <c r="AJ16" s="32" t="s">
        <v>140</v>
      </c>
    </row>
    <row r="17" customFormat="false" ht="23.85" hidden="false" customHeight="false" outlineLevel="0" collapsed="false">
      <c r="A17" s="33" t="n">
        <v>12</v>
      </c>
      <c r="B17" s="34" t="s">
        <v>199</v>
      </c>
      <c r="C17" s="34" t="s">
        <v>200</v>
      </c>
      <c r="D17" s="35" t="s">
        <v>77</v>
      </c>
      <c r="E17" s="34" t="s">
        <v>201</v>
      </c>
      <c r="F17" s="34" t="s">
        <v>202</v>
      </c>
      <c r="G17" s="36" t="n">
        <v>639000</v>
      </c>
      <c r="H17" s="36" t="n">
        <v>639000</v>
      </c>
      <c r="I17" s="37" t="n">
        <v>0</v>
      </c>
      <c r="J17" s="38" t="n">
        <f aca="false">Assumptions!$C$15</f>
        <v>0.25</v>
      </c>
      <c r="K17" s="36" t="n">
        <v>50000</v>
      </c>
      <c r="L17" s="34" t="s">
        <v>203</v>
      </c>
      <c r="M17" s="35" t="s">
        <v>66</v>
      </c>
      <c r="N17" s="35" t="s">
        <v>146</v>
      </c>
      <c r="O17" s="36" t="n">
        <v>945</v>
      </c>
      <c r="P17" s="35" t="s">
        <v>93</v>
      </c>
      <c r="Q17" s="39" t="n">
        <f aca="false">H17*(1-J17)</f>
        <v>479250</v>
      </c>
      <c r="R17" s="40" t="n">
        <f aca="false">IF((1-J17)&gt;0.75,Assumptions!$C$11,IF((1-J17)&gt;0.7,Assumptions!$C$12,Assumptions!$C$13))</f>
        <v>0.0725</v>
      </c>
      <c r="S17" s="39" t="n">
        <f aca="false">PMT(R17/12,Assumptions!$C$14,-Q17)</f>
        <v>3269.3298221693</v>
      </c>
      <c r="T17" s="39" t="n">
        <f aca="false">H17*INDEX(Assumptions!$C$28:$C$33,MATCH(D17,Assumptions!$B$28:$B$33,0))/12</f>
        <v>718.875</v>
      </c>
      <c r="U17" s="39" t="n">
        <f aca="false">(INDEX(Assumptions!$D$28:$D$33,MATCH(D17,Assumptions!$B$28:$B$33,0))+INDEX(Assumptions!$C$22:$C$25,MATCH(M17,Assumptions!$B$22:$B$25,0)))/12</f>
        <v>958.333333333333</v>
      </c>
      <c r="V17" s="39" t="n">
        <f aca="false">S17+T17+U17+O17</f>
        <v>5891.53815550263</v>
      </c>
      <c r="W17" s="41" t="n">
        <f aca="false">IFERROR(K17/12/V17,0)</f>
        <v>0.707229004835528</v>
      </c>
      <c r="X17" s="41" t="n">
        <f aca="false">IFERROR(K17*Assumptions!$C$18/12/V17,0)</f>
        <v>0.565783203868422</v>
      </c>
      <c r="Y17" s="39" t="n">
        <f aca="false">H17*J17+H17*(Assumptions!$C$16-I17)</f>
        <v>185310</v>
      </c>
      <c r="Z17" s="39" t="n">
        <f aca="false">V17*Assumptions!$C$17</f>
        <v>35349.2289330158</v>
      </c>
      <c r="AA17" s="39" t="n">
        <f aca="false">K17*INDEX(Assumptions!$H$36:$H$37,MATCH(P17,Assumptions!$B$36:$B$37,0))+Assumptions!$C$40+IF(N17="Y",Assumptions!$C$41,Assumptions!$C$42)</f>
        <v>23700</v>
      </c>
      <c r="AB17" s="39" t="n">
        <f aca="false">K17*INDEX(Assumptions!$C$36:$C$37,MATCH(P17,Assumptions!$B$36:$B$37,0))</f>
        <v>10000</v>
      </c>
      <c r="AC17" s="39" t="n">
        <f aca="false">K17-AA17-V17*12</f>
        <v>-44398.4578660316</v>
      </c>
      <c r="AD17" s="39" t="n">
        <f aca="false">AC17-AB17</f>
        <v>-54398.4578660316</v>
      </c>
      <c r="AE17" s="42" t="n">
        <f aca="false">IFERROR(K17/H17,0)</f>
        <v>0.0782472613458529</v>
      </c>
      <c r="AF17" s="42" t="n">
        <f aca="false">IFERROR((K17-AA17-AB17)/H17,0)</f>
        <v>0.025508607198748</v>
      </c>
      <c r="AG17" s="34"/>
      <c r="AH17" s="33" t="n">
        <v>27</v>
      </c>
      <c r="AI17" s="34" t="s">
        <v>204</v>
      </c>
      <c r="AJ17" s="43" t="s">
        <v>140</v>
      </c>
    </row>
    <row r="20" customFormat="false" ht="15" hidden="false" customHeight="false" outlineLevel="0" collapsed="false">
      <c r="A20" s="10" t="s">
        <v>205</v>
      </c>
    </row>
    <row r="21" customFormat="false" ht="15" hidden="false" customHeight="false" outlineLevel="0" collapsed="false">
      <c r="B21" s="3" t="s">
        <v>3</v>
      </c>
      <c r="C21" s="3" t="s">
        <v>4</v>
      </c>
      <c r="G21" s="3" t="s">
        <v>206</v>
      </c>
      <c r="L21" s="3" t="s">
        <v>207</v>
      </c>
      <c r="AI21" s="3" t="s">
        <v>208</v>
      </c>
      <c r="AJ21" s="3" t="s">
        <v>209</v>
      </c>
    </row>
    <row r="22" customFormat="false" ht="35.05" hidden="false" customHeight="false" outlineLevel="0" collapsed="false">
      <c r="B22" s="25" t="s">
        <v>210</v>
      </c>
      <c r="C22" s="25" t="s">
        <v>133</v>
      </c>
      <c r="G22" s="19" t="n">
        <v>619000</v>
      </c>
      <c r="L22" s="25" t="s">
        <v>211</v>
      </c>
      <c r="AI22" s="25" t="s">
        <v>212</v>
      </c>
      <c r="AJ22" s="32" t="s">
        <v>140</v>
      </c>
    </row>
    <row r="23" customFormat="false" ht="23.85" hidden="false" customHeight="false" outlineLevel="0" collapsed="false">
      <c r="B23" s="25" t="s">
        <v>213</v>
      </c>
      <c r="C23" s="25" t="s">
        <v>214</v>
      </c>
      <c r="G23" s="19" t="n">
        <v>524900</v>
      </c>
      <c r="L23" s="25" t="s">
        <v>215</v>
      </c>
      <c r="AI23" s="25" t="s">
        <v>212</v>
      </c>
      <c r="AJ23" s="32" t="s">
        <v>140</v>
      </c>
    </row>
    <row r="24" customFormat="false" ht="23.85" hidden="false" customHeight="false" outlineLevel="0" collapsed="false">
      <c r="B24" s="25" t="s">
        <v>216</v>
      </c>
      <c r="C24" s="25" t="s">
        <v>150</v>
      </c>
      <c r="G24" s="19" t="n">
        <v>499000</v>
      </c>
      <c r="L24" s="25" t="s">
        <v>217</v>
      </c>
      <c r="AI24" s="25" t="s">
        <v>212</v>
      </c>
      <c r="AJ24" s="32" t="s">
        <v>140</v>
      </c>
    </row>
    <row r="25" customFormat="false" ht="23.85" hidden="false" customHeight="false" outlineLevel="0" collapsed="false">
      <c r="B25" s="25" t="s">
        <v>218</v>
      </c>
      <c r="C25" s="25" t="s">
        <v>133</v>
      </c>
      <c r="G25" s="19" t="n">
        <v>450000</v>
      </c>
      <c r="L25" s="25" t="s">
        <v>219</v>
      </c>
      <c r="AI25" s="25" t="s">
        <v>212</v>
      </c>
      <c r="AJ25" s="32" t="s">
        <v>140</v>
      </c>
    </row>
    <row r="26" customFormat="false" ht="35.05" hidden="false" customHeight="false" outlineLevel="0" collapsed="false">
      <c r="B26" s="25" t="s">
        <v>220</v>
      </c>
      <c r="C26" s="25" t="s">
        <v>150</v>
      </c>
      <c r="G26" s="19" t="n">
        <v>625000</v>
      </c>
      <c r="L26" s="25" t="s">
        <v>221</v>
      </c>
      <c r="AI26" s="25" t="s">
        <v>212</v>
      </c>
      <c r="AJ26" s="32" t="s">
        <v>140</v>
      </c>
    </row>
    <row r="27" customFormat="false" ht="35.05" hidden="false" customHeight="false" outlineLevel="0" collapsed="false">
      <c r="B27" s="25" t="s">
        <v>222</v>
      </c>
      <c r="C27" s="25" t="s">
        <v>223</v>
      </c>
      <c r="G27" s="19" t="n">
        <v>419999</v>
      </c>
      <c r="L27" s="25" t="s">
        <v>224</v>
      </c>
      <c r="AI27" s="25" t="s">
        <v>212</v>
      </c>
      <c r="AJ27" s="32" t="s">
        <v>140</v>
      </c>
    </row>
    <row r="28" customFormat="false" ht="23.85" hidden="false" customHeight="false" outlineLevel="0" collapsed="false">
      <c r="B28" s="25" t="s">
        <v>225</v>
      </c>
      <c r="C28" s="25" t="s">
        <v>226</v>
      </c>
      <c r="G28" s="19" t="n">
        <v>374900</v>
      </c>
      <c r="L28" s="25" t="s">
        <v>227</v>
      </c>
      <c r="AI28" s="25" t="s">
        <v>212</v>
      </c>
      <c r="AJ28" s="32" t="s">
        <v>140</v>
      </c>
    </row>
  </sheetData>
  <dataValidations count="3">
    <dataValidation allowBlank="false" errorStyle="stop" operator="between" showDropDown="false" showErrorMessage="false" showInputMessage="false" sqref="M6:M17" type="list">
      <formula1>Assumptions!$B$22:$B$25</formula1>
      <formula2>0</formula2>
    </dataValidation>
    <dataValidation allowBlank="false" errorStyle="stop" operator="between" showDropDown="false" showErrorMessage="false" showInputMessage="false" sqref="P6:P17" type="list">
      <formula1>"STR,Seasonal"</formula1>
      <formula2>0</formula2>
    </dataValidation>
    <dataValidation allowBlank="false" errorStyle="stop" operator="between" showDropDown="false" showErrorMessage="false" showInputMessage="false" sqref="N6:N17" type="list">
      <formula1>"Y,N"</formula1>
      <formula2>0</formula2>
    </dataValidation>
  </dataValidations>
  <hyperlinks>
    <hyperlink ref="AJ6" r:id="rId2" display="Zillow"/>
    <hyperlink ref="AJ7" r:id="rId3" display="Zillow"/>
    <hyperlink ref="AJ8" r:id="rId4" display="Zillow"/>
    <hyperlink ref="AJ9" r:id="rId5" display="Zillow"/>
    <hyperlink ref="AJ10" r:id="rId6" display="Zillow"/>
    <hyperlink ref="AJ11" r:id="rId7" display="Zillow"/>
    <hyperlink ref="AJ12" r:id="rId8" display="Zillow"/>
    <hyperlink ref="AJ13" r:id="rId9" display="Zillow"/>
    <hyperlink ref="AJ14" r:id="rId10" display="Zillow"/>
    <hyperlink ref="AJ15" r:id="rId11" display="Zillow"/>
    <hyperlink ref="AJ16" r:id="rId12" display="Zillow"/>
    <hyperlink ref="AJ17" r:id="rId13" display="Zillow"/>
    <hyperlink ref="AJ22" r:id="rId14" display="Zillow"/>
    <hyperlink ref="AJ23" r:id="rId15" display="Zillow"/>
    <hyperlink ref="AJ24" r:id="rId16" display="Zillow"/>
    <hyperlink ref="AJ25" r:id="rId17" display="Zillow"/>
    <hyperlink ref="AJ26" r:id="rId18" display="Zillow"/>
    <hyperlink ref="AJ27" r:id="rId19" display="Zillow"/>
    <hyperlink ref="AJ28" r:id="rId20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6" min="15" style="0" width="9"/>
    <col collapsed="false" customWidth="true" hidden="false" outlineLevel="0" max="17" min="17" style="0" width="12"/>
    <col collapsed="false" customWidth="true" hidden="false" outlineLevel="0" max="18" min="18" style="0" width="8"/>
    <col collapsed="false" customWidth="true" hidden="false" outlineLevel="0" max="21" min="19" style="0" width="10"/>
    <col collapsed="false" customWidth="true" hidden="false" outlineLevel="0" max="22" min="22" style="0" width="11"/>
    <col collapsed="false" customWidth="true" hidden="false" outlineLevel="0" max="23" min="23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0" min="30" style="0" width="12"/>
    <col collapsed="false" customWidth="true" hidden="false" outlineLevel="0" max="32" min="31" style="0" width="8"/>
    <col collapsed="false" customWidth="true" hidden="false" outlineLevel="0" max="33" min="33" style="0" width="16"/>
    <col collapsed="false" customWidth="true" hidden="false" outlineLevel="0" max="34" min="34" style="0" width="6"/>
    <col collapsed="false" customWidth="true" hidden="false" outlineLevel="0" max="35" min="35" style="0" width="50"/>
    <col collapsed="false" customWidth="true" hidden="false" outlineLevel="0" max="36" min="36" style="0" width="14"/>
  </cols>
  <sheetData>
    <row r="1" customFormat="false" ht="17.35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3" customFormat="false" ht="15" hidden="false" customHeight="false" outlineLevel="0" collapsed="false">
      <c r="A3" s="2" t="s">
        <v>104</v>
      </c>
    </row>
    <row r="5" customFormat="false" ht="42" hidden="false" customHeight="true" outlineLevel="0" collapsed="false">
      <c r="A5" s="3" t="s">
        <v>105</v>
      </c>
      <c r="B5" s="3" t="s">
        <v>3</v>
      </c>
      <c r="C5" s="3" t="s">
        <v>4</v>
      </c>
      <c r="D5" s="3" t="s">
        <v>106</v>
      </c>
      <c r="E5" s="3" t="s">
        <v>107</v>
      </c>
      <c r="F5" s="3" t="s">
        <v>108</v>
      </c>
      <c r="G5" s="3" t="s">
        <v>109</v>
      </c>
      <c r="H5" s="3" t="s">
        <v>5</v>
      </c>
      <c r="I5" s="3" t="s">
        <v>110</v>
      </c>
      <c r="J5" s="3" t="s">
        <v>111</v>
      </c>
      <c r="K5" s="3" t="s">
        <v>112</v>
      </c>
      <c r="L5" s="3" t="s">
        <v>113</v>
      </c>
      <c r="M5" s="3" t="s">
        <v>114</v>
      </c>
      <c r="N5" s="3" t="s">
        <v>115</v>
      </c>
      <c r="O5" s="3" t="s">
        <v>116</v>
      </c>
      <c r="P5" s="3" t="s">
        <v>117</v>
      </c>
      <c r="Q5" s="23" t="s">
        <v>118</v>
      </c>
      <c r="R5" s="23" t="s">
        <v>119</v>
      </c>
      <c r="S5" s="23" t="s">
        <v>120</v>
      </c>
      <c r="T5" s="23" t="s">
        <v>121</v>
      </c>
      <c r="U5" s="23" t="s">
        <v>122</v>
      </c>
      <c r="V5" s="23" t="s">
        <v>7</v>
      </c>
      <c r="W5" s="23" t="s">
        <v>8</v>
      </c>
      <c r="X5" s="23" t="s">
        <v>9</v>
      </c>
      <c r="Y5" s="23" t="s">
        <v>10</v>
      </c>
      <c r="Z5" s="23" t="s">
        <v>123</v>
      </c>
      <c r="AA5" s="23" t="s">
        <v>124</v>
      </c>
      <c r="AB5" s="23" t="s">
        <v>125</v>
      </c>
      <c r="AC5" s="23" t="s">
        <v>11</v>
      </c>
      <c r="AD5" s="23" t="s">
        <v>12</v>
      </c>
      <c r="AE5" s="23" t="s">
        <v>126</v>
      </c>
      <c r="AF5" s="23" t="s">
        <v>127</v>
      </c>
      <c r="AG5" s="3" t="s">
        <v>128</v>
      </c>
      <c r="AH5" s="3" t="s">
        <v>129</v>
      </c>
      <c r="AI5" s="3" t="s">
        <v>130</v>
      </c>
      <c r="AJ5" s="3" t="s">
        <v>131</v>
      </c>
    </row>
    <row r="6" customFormat="false" ht="46.25" hidden="false" customHeight="false" outlineLevel="0" collapsed="false">
      <c r="A6" s="13" t="n">
        <v>1</v>
      </c>
      <c r="B6" s="24" t="s">
        <v>230</v>
      </c>
      <c r="C6" s="25" t="s">
        <v>231</v>
      </c>
      <c r="D6" s="26" t="s">
        <v>18</v>
      </c>
      <c r="E6" s="25" t="s">
        <v>134</v>
      </c>
      <c r="F6" s="25" t="s">
        <v>232</v>
      </c>
      <c r="G6" s="19" t="n">
        <v>499000</v>
      </c>
      <c r="H6" s="19" t="n">
        <v>485000</v>
      </c>
      <c r="I6" s="18" t="n">
        <v>0</v>
      </c>
      <c r="J6" s="27" t="n">
        <f aca="false">Assumptions!$C$15</f>
        <v>0.25</v>
      </c>
      <c r="K6" s="19" t="n">
        <v>71000</v>
      </c>
      <c r="L6" s="25" t="s">
        <v>233</v>
      </c>
      <c r="M6" s="26" t="s">
        <v>70</v>
      </c>
      <c r="N6" s="26" t="s">
        <v>137</v>
      </c>
      <c r="O6" s="19" t="n">
        <v>0</v>
      </c>
      <c r="P6" s="26" t="s">
        <v>93</v>
      </c>
      <c r="Q6" s="21" t="n">
        <f aca="false">H6*(1-J6)</f>
        <v>363750</v>
      </c>
      <c r="R6" s="28" t="n">
        <f aca="false">IF((1-J6)&gt;0.75,Assumptions!$C$11,IF((1-J6)&gt;0.7,Assumptions!$C$12,Assumptions!$C$13))</f>
        <v>0.0725</v>
      </c>
      <c r="S6" s="21" t="n">
        <f aca="false">PMT(R6/12,Assumptions!$C$14,-Q6)</f>
        <v>2481.4162187044</v>
      </c>
      <c r="T6" s="21" t="n">
        <f aca="false">H6*INDEX(Assumptions!$C$28:$C$33,MATCH(D6,Assumptions!$B$28:$B$33,0))/12</f>
        <v>646.666666666667</v>
      </c>
      <c r="U6" s="21" t="n">
        <f aca="false">(INDEX(Assumptions!$D$28:$D$33,MATCH(D6,Assumptions!$B$28:$B$33,0))+INDEX(Assumptions!$C$22:$C$25,MATCH(M6,Assumptions!$B$22:$B$25,0)))/12</f>
        <v>750</v>
      </c>
      <c r="V6" s="21" t="n">
        <f aca="false">S6+T6+U6+O6</f>
        <v>3878.08288537106</v>
      </c>
      <c r="W6" s="29" t="n">
        <f aca="false">IFERROR(K6/12/V6,0)</f>
        <v>1.52566792447515</v>
      </c>
      <c r="X6" s="30" t="n">
        <f aca="false">IFERROR(K6*Assumptions!$C$18/12/V6,0)</f>
        <v>1.22053433958012</v>
      </c>
      <c r="Y6" s="31" t="n">
        <f aca="false">H6*J6+H6*(Assumptions!$C$16-I6)</f>
        <v>140650</v>
      </c>
      <c r="Z6" s="21" t="n">
        <f aca="false">V6*Assumptions!$C$17</f>
        <v>23268.4973122264</v>
      </c>
      <c r="AA6" s="21" t="n">
        <f aca="false">K6*INDEX(Assumptions!$H$36:$H$37,MATCH(P6,Assumptions!$B$36:$B$37,0))+Assumptions!$C$40+IF(N6="Y",Assumptions!$C$41,Assumptions!$C$42)</f>
        <v>32430</v>
      </c>
      <c r="AB6" s="21" t="n">
        <f aca="false">K6*INDEX(Assumptions!$C$36:$C$37,MATCH(P6,Assumptions!$B$36:$B$37,0))</f>
        <v>14200</v>
      </c>
      <c r="AC6" s="21" t="n">
        <f aca="false">K6-AA6-V6*12</f>
        <v>-7966.99462445278</v>
      </c>
      <c r="AD6" s="21" t="n">
        <f aca="false">AC6-AB6</f>
        <v>-22166.9946244528</v>
      </c>
      <c r="AE6" s="22" t="n">
        <f aca="false">IFERROR(K6/H6,0)</f>
        <v>0.14639175257732</v>
      </c>
      <c r="AF6" s="22" t="n">
        <f aca="false">IFERROR((K6-AA6-AB6)/H6,0)</f>
        <v>0.0502474226804124</v>
      </c>
      <c r="AG6" s="25"/>
      <c r="AH6" s="13" t="n">
        <v>29</v>
      </c>
      <c r="AI6" s="25" t="s">
        <v>234</v>
      </c>
      <c r="AJ6" s="32" t="s">
        <v>140</v>
      </c>
    </row>
    <row r="7" customFormat="false" ht="46.25" hidden="false" customHeight="false" outlineLevel="0" collapsed="false">
      <c r="A7" s="33" t="n">
        <v>2</v>
      </c>
      <c r="B7" s="34" t="s">
        <v>235</v>
      </c>
      <c r="C7" s="34" t="s">
        <v>236</v>
      </c>
      <c r="D7" s="35" t="s">
        <v>18</v>
      </c>
      <c r="E7" s="34" t="s">
        <v>134</v>
      </c>
      <c r="F7" s="34" t="s">
        <v>237</v>
      </c>
      <c r="G7" s="36" t="n">
        <v>500000</v>
      </c>
      <c r="H7" s="36" t="n">
        <v>485000</v>
      </c>
      <c r="I7" s="37" t="n">
        <v>0</v>
      </c>
      <c r="J7" s="38" t="n">
        <f aca="false">Assumptions!$C$15</f>
        <v>0.25</v>
      </c>
      <c r="K7" s="36" t="n">
        <v>85000</v>
      </c>
      <c r="L7" s="34" t="s">
        <v>238</v>
      </c>
      <c r="M7" s="35" t="s">
        <v>70</v>
      </c>
      <c r="N7" s="35" t="s">
        <v>137</v>
      </c>
      <c r="O7" s="36" t="n">
        <v>0</v>
      </c>
      <c r="P7" s="35" t="s">
        <v>93</v>
      </c>
      <c r="Q7" s="39" t="n">
        <f aca="false">H7*(1-J7)</f>
        <v>363750</v>
      </c>
      <c r="R7" s="40" t="n">
        <f aca="false">IF((1-J7)&gt;0.75,Assumptions!$C$11,IF((1-J7)&gt;0.7,Assumptions!$C$12,Assumptions!$C$13))</f>
        <v>0.0725</v>
      </c>
      <c r="S7" s="39" t="n">
        <f aca="false">PMT(R7/12,Assumptions!$C$14,-Q7)</f>
        <v>2481.4162187044</v>
      </c>
      <c r="T7" s="39" t="n">
        <f aca="false">H7*INDEX(Assumptions!$C$28:$C$33,MATCH(D7,Assumptions!$B$28:$B$33,0))/12</f>
        <v>646.666666666667</v>
      </c>
      <c r="U7" s="39" t="n">
        <f aca="false">(INDEX(Assumptions!$D$28:$D$33,MATCH(D7,Assumptions!$B$28:$B$33,0))+INDEX(Assumptions!$C$22:$C$25,MATCH(M7,Assumptions!$B$22:$B$25,0)))/12</f>
        <v>750</v>
      </c>
      <c r="V7" s="39" t="n">
        <f aca="false">S7+T7+U7+O7</f>
        <v>3878.08288537106</v>
      </c>
      <c r="W7" s="41" t="n">
        <f aca="false">IFERROR(K7/12/V7,0)</f>
        <v>1.8265038532449</v>
      </c>
      <c r="X7" s="41" t="n">
        <f aca="false">IFERROR(K7*Assumptions!$C$18/12/V7,0)</f>
        <v>1.46120308259592</v>
      </c>
      <c r="Y7" s="39" t="n">
        <f aca="false">H7*J7+H7*(Assumptions!$C$16-I7)</f>
        <v>140650</v>
      </c>
      <c r="Z7" s="39" t="n">
        <f aca="false">V7*Assumptions!$C$17</f>
        <v>23268.4973122264</v>
      </c>
      <c r="AA7" s="39" t="n">
        <f aca="false">K7*INDEX(Assumptions!$H$36:$H$37,MATCH(P7,Assumptions!$B$36:$B$37,0))+Assumptions!$C$40+IF(N7="Y",Assumptions!$C$41,Assumptions!$C$42)</f>
        <v>37050</v>
      </c>
      <c r="AB7" s="39" t="n">
        <f aca="false">K7*INDEX(Assumptions!$C$36:$C$37,MATCH(P7,Assumptions!$B$36:$B$37,0))</f>
        <v>17000</v>
      </c>
      <c r="AC7" s="39" t="n">
        <f aca="false">K7-AA7-V7*12</f>
        <v>1413.00537554723</v>
      </c>
      <c r="AD7" s="39" t="n">
        <f aca="false">AC7-AB7</f>
        <v>-15586.9946244528</v>
      </c>
      <c r="AE7" s="42" t="n">
        <f aca="false">IFERROR(K7/H7,0)</f>
        <v>0.175257731958763</v>
      </c>
      <c r="AF7" s="42" t="n">
        <f aca="false">IFERROR((K7-AA7-AB7)/H7,0)</f>
        <v>0.0638144329896907</v>
      </c>
      <c r="AG7" s="34"/>
      <c r="AH7" s="33" t="n">
        <v>18</v>
      </c>
      <c r="AI7" s="34" t="s">
        <v>239</v>
      </c>
      <c r="AJ7" s="43" t="s">
        <v>140</v>
      </c>
    </row>
    <row r="8" customFormat="false" ht="35.05" hidden="false" customHeight="false" outlineLevel="0" collapsed="false">
      <c r="A8" s="13" t="n">
        <v>3</v>
      </c>
      <c r="B8" s="25" t="s">
        <v>240</v>
      </c>
      <c r="C8" s="25" t="s">
        <v>241</v>
      </c>
      <c r="D8" s="26" t="s">
        <v>18</v>
      </c>
      <c r="E8" s="25" t="s">
        <v>134</v>
      </c>
      <c r="F8" s="25" t="s">
        <v>242</v>
      </c>
      <c r="G8" s="19" t="n">
        <v>359000</v>
      </c>
      <c r="H8" s="19" t="n">
        <v>340000</v>
      </c>
      <c r="I8" s="18" t="n">
        <v>0</v>
      </c>
      <c r="J8" s="27" t="n">
        <f aca="false">Assumptions!$C$15</f>
        <v>0.25</v>
      </c>
      <c r="K8" s="19" t="n">
        <v>51000</v>
      </c>
      <c r="L8" s="25" t="s">
        <v>243</v>
      </c>
      <c r="M8" s="26" t="s">
        <v>70</v>
      </c>
      <c r="N8" s="26" t="s">
        <v>146</v>
      </c>
      <c r="O8" s="19" t="n">
        <v>0</v>
      </c>
      <c r="P8" s="26" t="s">
        <v>93</v>
      </c>
      <c r="Q8" s="21" t="n">
        <f aca="false">H8*(1-J8)</f>
        <v>255000</v>
      </c>
      <c r="R8" s="28" t="n">
        <f aca="false">IF((1-J8)&gt;0.75,Assumptions!$C$11,IF((1-J8)&gt;0.7,Assumptions!$C$12,Assumptions!$C$13))</f>
        <v>0.0725</v>
      </c>
      <c r="S8" s="21" t="n">
        <f aca="false">PMT(R8/12,Assumptions!$C$14,-Q8)</f>
        <v>1739.54951414329</v>
      </c>
      <c r="T8" s="21" t="n">
        <f aca="false">H8*INDEX(Assumptions!$C$28:$C$33,MATCH(D8,Assumptions!$B$28:$B$33,0))/12</f>
        <v>453.333333333333</v>
      </c>
      <c r="U8" s="21" t="n">
        <f aca="false">(INDEX(Assumptions!$D$28:$D$33,MATCH(D8,Assumptions!$B$28:$B$33,0))+INDEX(Assumptions!$C$22:$C$25,MATCH(M8,Assumptions!$B$22:$B$25,0)))/12</f>
        <v>750</v>
      </c>
      <c r="V8" s="21" t="n">
        <f aca="false">S8+T8+U8+O8</f>
        <v>2942.88284747662</v>
      </c>
      <c r="W8" s="29" t="n">
        <f aca="false">IFERROR(K8/12/V8,0)</f>
        <v>1.4441621431326</v>
      </c>
      <c r="X8" s="29" t="n">
        <f aca="false">IFERROR(K8*Assumptions!$C$18/12/V8,0)</f>
        <v>1.15532971450608</v>
      </c>
      <c r="Y8" s="21" t="n">
        <f aca="false">H8*J8+H8*(Assumptions!$C$16-I8)</f>
        <v>98600</v>
      </c>
      <c r="Z8" s="21" t="n">
        <f aca="false">V8*Assumptions!$C$17</f>
        <v>17657.2970848597</v>
      </c>
      <c r="AA8" s="21" t="n">
        <f aca="false">K8*INDEX(Assumptions!$H$36:$H$37,MATCH(P8,Assumptions!$B$36:$B$37,0))+Assumptions!$C$40+IF(N8="Y",Assumptions!$C$41,Assumptions!$C$42)</f>
        <v>24030</v>
      </c>
      <c r="AB8" s="21" t="n">
        <f aca="false">K8*INDEX(Assumptions!$C$36:$C$37,MATCH(P8,Assumptions!$B$36:$B$37,0))</f>
        <v>10200</v>
      </c>
      <c r="AC8" s="21" t="n">
        <f aca="false">K8-AA8-V8*12</f>
        <v>-8344.59416971947</v>
      </c>
      <c r="AD8" s="21" t="n">
        <f aca="false">AC8-AB8</f>
        <v>-18544.5941697195</v>
      </c>
      <c r="AE8" s="22" t="n">
        <f aca="false">IFERROR(K8/H8,0)</f>
        <v>0.15</v>
      </c>
      <c r="AF8" s="22" t="n">
        <f aca="false">IFERROR((K8-AA8-AB8)/H8,0)</f>
        <v>0.0493235294117647</v>
      </c>
      <c r="AG8" s="25"/>
      <c r="AH8" s="13" t="n">
        <v>257</v>
      </c>
      <c r="AI8" s="25" t="s">
        <v>244</v>
      </c>
      <c r="AJ8" s="32" t="s">
        <v>140</v>
      </c>
    </row>
    <row r="9" customFormat="false" ht="35.05" hidden="false" customHeight="false" outlineLevel="0" collapsed="false">
      <c r="A9" s="33" t="n">
        <v>4</v>
      </c>
      <c r="B9" s="34" t="s">
        <v>245</v>
      </c>
      <c r="C9" s="34" t="s">
        <v>246</v>
      </c>
      <c r="D9" s="35" t="s">
        <v>18</v>
      </c>
      <c r="E9" s="34" t="s">
        <v>195</v>
      </c>
      <c r="F9" s="34" t="s">
        <v>247</v>
      </c>
      <c r="G9" s="36" t="n">
        <v>659900</v>
      </c>
      <c r="H9" s="36" t="n">
        <v>640000</v>
      </c>
      <c r="I9" s="37" t="n">
        <v>0</v>
      </c>
      <c r="J9" s="38" t="n">
        <f aca="false">Assumptions!$C$15</f>
        <v>0.25</v>
      </c>
      <c r="K9" s="36" t="n">
        <v>75000</v>
      </c>
      <c r="L9" s="34" t="s">
        <v>248</v>
      </c>
      <c r="M9" s="35" t="s">
        <v>66</v>
      </c>
      <c r="N9" s="35" t="s">
        <v>146</v>
      </c>
      <c r="O9" s="36" t="n">
        <v>961</v>
      </c>
      <c r="P9" s="35" t="s">
        <v>93</v>
      </c>
      <c r="Q9" s="39" t="n">
        <f aca="false">H9*(1-J9)</f>
        <v>480000</v>
      </c>
      <c r="R9" s="40" t="n">
        <f aca="false">IF((1-J9)&gt;0.75,Assumptions!$C$11,IF((1-J9)&gt;0.7,Assumptions!$C$12,Assumptions!$C$13))</f>
        <v>0.0725</v>
      </c>
      <c r="S9" s="39" t="n">
        <f aca="false">PMT(R9/12,Assumptions!$C$14,-Q9)</f>
        <v>3274.44614426972</v>
      </c>
      <c r="T9" s="39" t="n">
        <f aca="false">H9*INDEX(Assumptions!$C$28:$C$33,MATCH(D9,Assumptions!$B$28:$B$33,0))/12</f>
        <v>853.333333333333</v>
      </c>
      <c r="U9" s="39" t="n">
        <f aca="false">(INDEX(Assumptions!$D$28:$D$33,MATCH(D9,Assumptions!$B$28:$B$33,0))+INDEX(Assumptions!$C$22:$C$25,MATCH(M9,Assumptions!$B$22:$B$25,0)))/12</f>
        <v>958.333333333333</v>
      </c>
      <c r="V9" s="39" t="n">
        <f aca="false">S9+T9+U9+O9</f>
        <v>6047.11281093639</v>
      </c>
      <c r="W9" s="41" t="n">
        <f aca="false">IFERROR(K9/12/V9,0)</f>
        <v>1.03355108386546</v>
      </c>
      <c r="X9" s="41" t="n">
        <f aca="false">IFERROR(K9*Assumptions!$C$18/12/V9,0)</f>
        <v>0.826840867092367</v>
      </c>
      <c r="Y9" s="39" t="n">
        <f aca="false">H9*J9+H9*(Assumptions!$C$16-I9)</f>
        <v>185600</v>
      </c>
      <c r="Z9" s="39" t="n">
        <f aca="false">V9*Assumptions!$C$17</f>
        <v>36282.6768656183</v>
      </c>
      <c r="AA9" s="39" t="n">
        <f aca="false">K9*INDEX(Assumptions!$H$36:$H$37,MATCH(P9,Assumptions!$B$36:$B$37,0))+Assumptions!$C$40+IF(N9="Y",Assumptions!$C$41,Assumptions!$C$42)</f>
        <v>31950</v>
      </c>
      <c r="AB9" s="39" t="n">
        <f aca="false">K9*INDEX(Assumptions!$C$36:$C$37,MATCH(P9,Assumptions!$B$36:$B$37,0))</f>
        <v>15000</v>
      </c>
      <c r="AC9" s="39" t="n">
        <f aca="false">K9-AA9-V9*12</f>
        <v>-29515.3537312367</v>
      </c>
      <c r="AD9" s="39" t="n">
        <f aca="false">AC9-AB9</f>
        <v>-44515.3537312367</v>
      </c>
      <c r="AE9" s="42" t="n">
        <f aca="false">IFERROR(K9/H9,0)</f>
        <v>0.1171875</v>
      </c>
      <c r="AF9" s="42" t="n">
        <f aca="false">IFERROR((K9-AA9-AB9)/H9,0)</f>
        <v>0.043828125</v>
      </c>
      <c r="AG9" s="34"/>
      <c r="AH9" s="33" t="n">
        <v>36</v>
      </c>
      <c r="AI9" s="34" t="s">
        <v>249</v>
      </c>
      <c r="AJ9" s="43" t="s">
        <v>140</v>
      </c>
    </row>
    <row r="10" customFormat="false" ht="23.85" hidden="false" customHeight="false" outlineLevel="0" collapsed="false">
      <c r="A10" s="13" t="n">
        <v>5</v>
      </c>
      <c r="B10" s="25" t="s">
        <v>250</v>
      </c>
      <c r="C10" s="25" t="s">
        <v>246</v>
      </c>
      <c r="D10" s="26" t="s">
        <v>18</v>
      </c>
      <c r="E10" s="25" t="s">
        <v>195</v>
      </c>
      <c r="F10" s="25" t="s">
        <v>251</v>
      </c>
      <c r="G10" s="19" t="n">
        <v>575000</v>
      </c>
      <c r="H10" s="19" t="n">
        <v>560000</v>
      </c>
      <c r="I10" s="18" t="n">
        <v>0</v>
      </c>
      <c r="J10" s="27" t="n">
        <f aca="false">Assumptions!$C$15</f>
        <v>0.25</v>
      </c>
      <c r="K10" s="19" t="n">
        <v>59000</v>
      </c>
      <c r="L10" s="25" t="s">
        <v>252</v>
      </c>
      <c r="M10" s="26" t="s">
        <v>66</v>
      </c>
      <c r="N10" s="26" t="s">
        <v>146</v>
      </c>
      <c r="O10" s="19" t="n">
        <v>630</v>
      </c>
      <c r="P10" s="26" t="s">
        <v>93</v>
      </c>
      <c r="Q10" s="21" t="n">
        <f aca="false">H10*(1-J10)</f>
        <v>420000</v>
      </c>
      <c r="R10" s="28" t="n">
        <f aca="false">IF((1-J10)&gt;0.75,Assumptions!$C$11,IF((1-J10)&gt;0.7,Assumptions!$C$12,Assumptions!$C$13))</f>
        <v>0.0725</v>
      </c>
      <c r="S10" s="21" t="n">
        <f aca="false">PMT(R10/12,Assumptions!$C$14,-Q10)</f>
        <v>2865.14037623601</v>
      </c>
      <c r="T10" s="21" t="n">
        <f aca="false">H10*INDEX(Assumptions!$C$28:$C$33,MATCH(D10,Assumptions!$B$28:$B$33,0))/12</f>
        <v>746.666666666667</v>
      </c>
      <c r="U10" s="21" t="n">
        <f aca="false">(INDEX(Assumptions!$D$28:$D$33,MATCH(D10,Assumptions!$B$28:$B$33,0))+INDEX(Assumptions!$C$22:$C$25,MATCH(M10,Assumptions!$B$22:$B$25,0)))/12</f>
        <v>958.333333333333</v>
      </c>
      <c r="V10" s="21" t="n">
        <f aca="false">S10+T10+U10+O10</f>
        <v>5200.14037623601</v>
      </c>
      <c r="W10" s="29" t="n">
        <f aca="false">IFERROR(K10/12/V10,0)</f>
        <v>0.945487296676686</v>
      </c>
      <c r="X10" s="29" t="n">
        <f aca="false">IFERROR(K10*Assumptions!$C$18/12/V10,0)</f>
        <v>0.756389837341349</v>
      </c>
      <c r="Y10" s="21" t="n">
        <f aca="false">H10*J10+H10*(Assumptions!$C$16-I10)</f>
        <v>162400</v>
      </c>
      <c r="Z10" s="21" t="n">
        <f aca="false">V10*Assumptions!$C$17</f>
        <v>31200.842257416</v>
      </c>
      <c r="AA10" s="21" t="n">
        <f aca="false">K10*INDEX(Assumptions!$H$36:$H$37,MATCH(P10,Assumptions!$B$36:$B$37,0))+Assumptions!$C$40+IF(N10="Y",Assumptions!$C$41,Assumptions!$C$42)</f>
        <v>26670</v>
      </c>
      <c r="AB10" s="21" t="n">
        <f aca="false">K10*INDEX(Assumptions!$C$36:$C$37,MATCH(P10,Assumptions!$B$36:$B$37,0))</f>
        <v>11800</v>
      </c>
      <c r="AC10" s="21" t="n">
        <f aca="false">K10-AA10-V10*12</f>
        <v>-30071.6845148321</v>
      </c>
      <c r="AD10" s="21" t="n">
        <f aca="false">AC10-AB10</f>
        <v>-41871.6845148321</v>
      </c>
      <c r="AE10" s="22" t="n">
        <f aca="false">IFERROR(K10/H10,0)</f>
        <v>0.105357142857143</v>
      </c>
      <c r="AF10" s="22" t="n">
        <f aca="false">IFERROR((K10-AA10-AB10)/H10,0)</f>
        <v>0.0366607142857143</v>
      </c>
      <c r="AG10" s="25"/>
      <c r="AH10" s="13" t="n">
        <v>18</v>
      </c>
      <c r="AI10" s="25" t="s">
        <v>253</v>
      </c>
      <c r="AJ10" s="32" t="s">
        <v>140</v>
      </c>
    </row>
    <row r="11" customFormat="false" ht="35.05" hidden="false" customHeight="false" outlineLevel="0" collapsed="false">
      <c r="A11" s="33" t="n">
        <v>6</v>
      </c>
      <c r="B11" s="34" t="s">
        <v>254</v>
      </c>
      <c r="C11" s="34" t="s">
        <v>255</v>
      </c>
      <c r="D11" s="35" t="s">
        <v>18</v>
      </c>
      <c r="E11" s="34" t="s">
        <v>201</v>
      </c>
      <c r="F11" s="34" t="s">
        <v>256</v>
      </c>
      <c r="G11" s="36" t="n">
        <v>614999</v>
      </c>
      <c r="H11" s="36" t="n">
        <v>590000</v>
      </c>
      <c r="I11" s="37" t="n">
        <v>0</v>
      </c>
      <c r="J11" s="38" t="n">
        <f aca="false">Assumptions!$C$15</f>
        <v>0.25</v>
      </c>
      <c r="K11" s="36" t="n">
        <v>47890</v>
      </c>
      <c r="L11" s="34" t="s">
        <v>257</v>
      </c>
      <c r="M11" s="35" t="s">
        <v>68</v>
      </c>
      <c r="N11" s="35" t="s">
        <v>146</v>
      </c>
      <c r="O11" s="36" t="n">
        <v>835</v>
      </c>
      <c r="P11" s="35" t="s">
        <v>95</v>
      </c>
      <c r="Q11" s="39" t="n">
        <f aca="false">H11*(1-J11)</f>
        <v>442500</v>
      </c>
      <c r="R11" s="40" t="n">
        <f aca="false">IF((1-J11)&gt;0.75,Assumptions!$C$11,IF((1-J11)&gt;0.7,Assumptions!$C$12,Assumptions!$C$13))</f>
        <v>0.0725</v>
      </c>
      <c r="S11" s="39" t="n">
        <f aca="false">PMT(R11/12,Assumptions!$C$14,-Q11)</f>
        <v>3018.63003924865</v>
      </c>
      <c r="T11" s="39" t="n">
        <f aca="false">H11*INDEX(Assumptions!$C$28:$C$33,MATCH(D11,Assumptions!$B$28:$B$33,0))/12</f>
        <v>786.666666666667</v>
      </c>
      <c r="U11" s="39" t="n">
        <f aca="false">(INDEX(Assumptions!$D$28:$D$33,MATCH(D11,Assumptions!$B$28:$B$33,0))+INDEX(Assumptions!$C$22:$C$25,MATCH(M11,Assumptions!$B$22:$B$25,0)))/12</f>
        <v>1333.33333333333</v>
      </c>
      <c r="V11" s="39" t="n">
        <f aca="false">S11+T11+U11+O11</f>
        <v>5973.63003924865</v>
      </c>
      <c r="W11" s="41" t="n">
        <f aca="false">IFERROR(K11/12/V11,0)</f>
        <v>0.668075074471015</v>
      </c>
      <c r="X11" s="41" t="n">
        <f aca="false">IFERROR(K11*Assumptions!$C$18/12/V11,0)</f>
        <v>0.534460059576812</v>
      </c>
      <c r="Y11" s="39" t="n">
        <f aca="false">H11*J11+H11*(Assumptions!$C$16-I11)</f>
        <v>171100</v>
      </c>
      <c r="Z11" s="39" t="n">
        <f aca="false">V11*Assumptions!$C$17</f>
        <v>35841.7802354919</v>
      </c>
      <c r="AA11" s="39" t="n">
        <f aca="false">K11*INDEX(Assumptions!$H$36:$H$37,MATCH(P11,Assumptions!$B$36:$B$37,0))+Assumptions!$C$40+IF(N11="Y",Assumptions!$C$41,Assumptions!$C$42)</f>
        <v>14862.4</v>
      </c>
      <c r="AB11" s="39" t="n">
        <f aca="false">K11*INDEX(Assumptions!$C$36:$C$37,MATCH(P11,Assumptions!$B$36:$B$37,0))</f>
        <v>5746.8</v>
      </c>
      <c r="AC11" s="39" t="n">
        <f aca="false">K11-AA11-V11*12</f>
        <v>-38655.9604709838</v>
      </c>
      <c r="AD11" s="39" t="n">
        <f aca="false">AC11-AB11</f>
        <v>-44402.7604709838</v>
      </c>
      <c r="AE11" s="42" t="n">
        <f aca="false">IFERROR(K11/H11,0)</f>
        <v>0.0811694915254237</v>
      </c>
      <c r="AF11" s="42" t="n">
        <f aca="false">IFERROR((K11-AA11-AB11)/H11,0)</f>
        <v>0.0462386440677966</v>
      </c>
      <c r="AG11" s="34"/>
      <c r="AH11" s="33" t="n">
        <v>152</v>
      </c>
      <c r="AI11" s="34" t="s">
        <v>258</v>
      </c>
      <c r="AJ11" s="43" t="s">
        <v>140</v>
      </c>
    </row>
    <row r="12" customFormat="false" ht="35.05" hidden="false" customHeight="false" outlineLevel="0" collapsed="false">
      <c r="A12" s="13" t="n">
        <v>7</v>
      </c>
      <c r="B12" s="25" t="s">
        <v>259</v>
      </c>
      <c r="C12" s="25" t="s">
        <v>260</v>
      </c>
      <c r="D12" s="26" t="s">
        <v>18</v>
      </c>
      <c r="E12" s="25" t="s">
        <v>195</v>
      </c>
      <c r="F12" s="25" t="s">
        <v>261</v>
      </c>
      <c r="G12" s="19" t="n">
        <v>699000</v>
      </c>
      <c r="H12" s="19" t="n">
        <v>699000</v>
      </c>
      <c r="I12" s="18" t="n">
        <v>0</v>
      </c>
      <c r="J12" s="27" t="n">
        <f aca="false">Assumptions!$C$15</f>
        <v>0.25</v>
      </c>
      <c r="K12" s="19" t="n">
        <v>50000</v>
      </c>
      <c r="L12" s="25" t="s">
        <v>262</v>
      </c>
      <c r="M12" s="26" t="s">
        <v>66</v>
      </c>
      <c r="N12" s="26" t="s">
        <v>146</v>
      </c>
      <c r="O12" s="19" t="n">
        <v>1325</v>
      </c>
      <c r="P12" s="26" t="s">
        <v>93</v>
      </c>
      <c r="Q12" s="21" t="n">
        <f aca="false">H12*(1-J12)</f>
        <v>524250</v>
      </c>
      <c r="R12" s="28" t="n">
        <f aca="false">IF((1-J12)&gt;0.75,Assumptions!$C$11,IF((1-J12)&gt;0.7,Assumptions!$C$12,Assumptions!$C$13))</f>
        <v>0.0725</v>
      </c>
      <c r="S12" s="21" t="n">
        <f aca="false">PMT(R12/12,Assumptions!$C$14,-Q12)</f>
        <v>3576.30914819459</v>
      </c>
      <c r="T12" s="21" t="n">
        <f aca="false">H12*INDEX(Assumptions!$C$28:$C$33,MATCH(D12,Assumptions!$B$28:$B$33,0))/12</f>
        <v>932</v>
      </c>
      <c r="U12" s="21" t="n">
        <f aca="false">(INDEX(Assumptions!$D$28:$D$33,MATCH(D12,Assumptions!$B$28:$B$33,0))+INDEX(Assumptions!$C$22:$C$25,MATCH(M12,Assumptions!$B$22:$B$25,0)))/12</f>
        <v>958.333333333333</v>
      </c>
      <c r="V12" s="21" t="n">
        <f aca="false">S12+T12+U12+O12</f>
        <v>6791.64248152792</v>
      </c>
      <c r="W12" s="29" t="n">
        <f aca="false">IFERROR(K12/12/V12,0)</f>
        <v>0.613499117186936</v>
      </c>
      <c r="X12" s="29" t="n">
        <f aca="false">IFERROR(K12*Assumptions!$C$18/12/V12,0)</f>
        <v>0.490799293749548</v>
      </c>
      <c r="Y12" s="21" t="n">
        <f aca="false">H12*J12+H12*(Assumptions!$C$16-I12)</f>
        <v>202710</v>
      </c>
      <c r="Z12" s="21" t="n">
        <f aca="false">V12*Assumptions!$C$17</f>
        <v>40749.8548891675</v>
      </c>
      <c r="AA12" s="21" t="n">
        <f aca="false">K12*INDEX(Assumptions!$H$36:$H$37,MATCH(P12,Assumptions!$B$36:$B$37,0))+Assumptions!$C$40+IF(N12="Y",Assumptions!$C$41,Assumptions!$C$42)</f>
        <v>23700</v>
      </c>
      <c r="AB12" s="21" t="n">
        <f aca="false">K12*INDEX(Assumptions!$C$36:$C$37,MATCH(P12,Assumptions!$B$36:$B$37,0))</f>
        <v>10000</v>
      </c>
      <c r="AC12" s="21" t="n">
        <f aca="false">K12-AA12-V12*12</f>
        <v>-55199.709778335</v>
      </c>
      <c r="AD12" s="21" t="n">
        <f aca="false">AC12-AB12</f>
        <v>-65199.709778335</v>
      </c>
      <c r="AE12" s="22" t="n">
        <f aca="false">IFERROR(K12/H12,0)</f>
        <v>0.0715307582260372</v>
      </c>
      <c r="AF12" s="22" t="n">
        <f aca="false">IFERROR((K12-AA12-AB12)/H12,0)</f>
        <v>0.0233190271816881</v>
      </c>
      <c r="AG12" s="25"/>
      <c r="AH12" s="13" t="n">
        <v>7</v>
      </c>
      <c r="AI12" s="25" t="s">
        <v>263</v>
      </c>
      <c r="AJ12" s="32" t="s">
        <v>140</v>
      </c>
    </row>
    <row r="15" customFormat="false" ht="15" hidden="false" customHeight="false" outlineLevel="0" collapsed="false">
      <c r="A15" s="10" t="s">
        <v>264</v>
      </c>
    </row>
    <row r="16" customFormat="false" ht="15" hidden="false" customHeight="false" outlineLevel="0" collapsed="false">
      <c r="B16" s="3" t="s">
        <v>3</v>
      </c>
      <c r="C16" s="3" t="s">
        <v>4</v>
      </c>
      <c r="G16" s="3" t="s">
        <v>206</v>
      </c>
      <c r="L16" s="3" t="s">
        <v>207</v>
      </c>
      <c r="AI16" s="3" t="s">
        <v>208</v>
      </c>
      <c r="AJ16" s="3" t="s">
        <v>209</v>
      </c>
    </row>
    <row r="17" customFormat="false" ht="35.05" hidden="false" customHeight="false" outlineLevel="0" collapsed="false">
      <c r="B17" s="25" t="s">
        <v>265</v>
      </c>
      <c r="C17" s="25" t="s">
        <v>266</v>
      </c>
      <c r="G17" s="19" t="n">
        <v>699000</v>
      </c>
      <c r="L17" s="25" t="s">
        <v>267</v>
      </c>
      <c r="AI17" s="25" t="s">
        <v>212</v>
      </c>
      <c r="AJ17" s="32" t="s">
        <v>140</v>
      </c>
    </row>
    <row r="18" customFormat="false" ht="35.05" hidden="false" customHeight="false" outlineLevel="0" collapsed="false">
      <c r="B18" s="25" t="s">
        <v>268</v>
      </c>
      <c r="C18" s="25" t="s">
        <v>269</v>
      </c>
      <c r="G18" s="19" t="n">
        <v>629000</v>
      </c>
      <c r="L18" s="25" t="s">
        <v>270</v>
      </c>
      <c r="AI18" s="25" t="s">
        <v>212</v>
      </c>
      <c r="AJ18" s="32" t="s">
        <v>140</v>
      </c>
    </row>
    <row r="19" customFormat="false" ht="35.05" hidden="false" customHeight="false" outlineLevel="0" collapsed="false">
      <c r="B19" s="25" t="s">
        <v>271</v>
      </c>
      <c r="C19" s="25" t="s">
        <v>272</v>
      </c>
      <c r="G19" s="19" t="n">
        <v>575000</v>
      </c>
      <c r="L19" s="25" t="s">
        <v>273</v>
      </c>
      <c r="AI19" s="25" t="s">
        <v>212</v>
      </c>
      <c r="AJ19" s="32" t="s">
        <v>140</v>
      </c>
    </row>
    <row r="20" customFormat="false" ht="23.85" hidden="false" customHeight="false" outlineLevel="0" collapsed="false">
      <c r="B20" s="25" t="s">
        <v>274</v>
      </c>
      <c r="C20" s="25" t="s">
        <v>266</v>
      </c>
      <c r="G20" s="19" t="n">
        <v>599000</v>
      </c>
      <c r="L20" s="25" t="s">
        <v>275</v>
      </c>
      <c r="AI20" s="25" t="s">
        <v>212</v>
      </c>
      <c r="AJ20" s="32" t="s">
        <v>140</v>
      </c>
    </row>
    <row r="21" customFormat="false" ht="35.05" hidden="false" customHeight="false" outlineLevel="0" collapsed="false">
      <c r="B21" s="25" t="s">
        <v>276</v>
      </c>
      <c r="C21" s="25" t="s">
        <v>277</v>
      </c>
      <c r="G21" s="19" t="n">
        <v>550000</v>
      </c>
      <c r="L21" s="25" t="s">
        <v>278</v>
      </c>
      <c r="AI21" s="25" t="s">
        <v>212</v>
      </c>
      <c r="AJ21" s="32" t="s">
        <v>140</v>
      </c>
    </row>
    <row r="22" customFormat="false" ht="23.85" hidden="false" customHeight="false" outlineLevel="0" collapsed="false">
      <c r="B22" s="25" t="s">
        <v>279</v>
      </c>
      <c r="C22" s="25" t="s">
        <v>280</v>
      </c>
      <c r="G22" s="19" t="n">
        <v>425000</v>
      </c>
      <c r="L22" s="25" t="s">
        <v>281</v>
      </c>
      <c r="AI22" s="25" t="s">
        <v>212</v>
      </c>
      <c r="AJ22" s="32" t="s">
        <v>140</v>
      </c>
    </row>
    <row r="23" customFormat="false" ht="35.05" hidden="false" customHeight="false" outlineLevel="0" collapsed="false">
      <c r="B23" s="25" t="s">
        <v>282</v>
      </c>
      <c r="C23" s="25" t="s">
        <v>283</v>
      </c>
      <c r="G23" s="19" t="n">
        <v>550000</v>
      </c>
      <c r="L23" s="25" t="s">
        <v>284</v>
      </c>
      <c r="AI23" s="25" t="s">
        <v>212</v>
      </c>
      <c r="AJ23" s="32" t="s">
        <v>140</v>
      </c>
    </row>
    <row r="24" customFormat="false" ht="23.85" hidden="false" customHeight="false" outlineLevel="0" collapsed="false">
      <c r="B24" s="25" t="s">
        <v>285</v>
      </c>
      <c r="C24" s="25" t="s">
        <v>286</v>
      </c>
      <c r="G24" s="19" t="n">
        <v>524900</v>
      </c>
      <c r="L24" s="25" t="s">
        <v>287</v>
      </c>
      <c r="AI24" s="25" t="s">
        <v>212</v>
      </c>
      <c r="AJ24" s="32" t="s">
        <v>140</v>
      </c>
    </row>
    <row r="25" customFormat="false" ht="35.05" hidden="false" customHeight="false" outlineLevel="0" collapsed="false">
      <c r="B25" s="25" t="s">
        <v>288</v>
      </c>
      <c r="C25" s="25" t="s">
        <v>289</v>
      </c>
      <c r="G25" s="19" t="n">
        <v>490000</v>
      </c>
      <c r="L25" s="25" t="s">
        <v>290</v>
      </c>
      <c r="AI25" s="25" t="s">
        <v>212</v>
      </c>
      <c r="AJ25" s="32" t="s">
        <v>140</v>
      </c>
    </row>
    <row r="26" customFormat="false" ht="23.85" hidden="false" customHeight="false" outlineLevel="0" collapsed="false">
      <c r="B26" s="25" t="s">
        <v>291</v>
      </c>
      <c r="C26" s="25" t="s">
        <v>289</v>
      </c>
      <c r="G26" s="19" t="n">
        <v>585000</v>
      </c>
      <c r="L26" s="25" t="s">
        <v>292</v>
      </c>
      <c r="AI26" s="25" t="s">
        <v>212</v>
      </c>
      <c r="AJ26" s="32" t="s">
        <v>140</v>
      </c>
    </row>
    <row r="27" customFormat="false" ht="23.85" hidden="false" customHeight="false" outlineLevel="0" collapsed="false">
      <c r="B27" s="25" t="s">
        <v>293</v>
      </c>
      <c r="C27" s="25" t="s">
        <v>280</v>
      </c>
      <c r="G27" s="19" t="n">
        <v>520000</v>
      </c>
      <c r="L27" s="25" t="s">
        <v>294</v>
      </c>
      <c r="AI27" s="25" t="s">
        <v>212</v>
      </c>
      <c r="AJ27" s="32" t="s">
        <v>140</v>
      </c>
    </row>
    <row r="28" customFormat="false" ht="35.05" hidden="false" customHeight="false" outlineLevel="0" collapsed="false">
      <c r="B28" s="25" t="s">
        <v>295</v>
      </c>
      <c r="C28" s="25" t="s">
        <v>296</v>
      </c>
      <c r="G28" s="19" t="n">
        <v>499900</v>
      </c>
      <c r="L28" s="25" t="s">
        <v>297</v>
      </c>
      <c r="AI28" s="25" t="s">
        <v>212</v>
      </c>
      <c r="AJ28" s="32" t="s">
        <v>140</v>
      </c>
    </row>
    <row r="29" customFormat="false" ht="46.25" hidden="false" customHeight="false" outlineLevel="0" collapsed="false">
      <c r="B29" s="25" t="s">
        <v>298</v>
      </c>
      <c r="C29" s="25" t="s">
        <v>299</v>
      </c>
      <c r="G29" s="19" t="n">
        <v>594900</v>
      </c>
      <c r="L29" s="25" t="s">
        <v>300</v>
      </c>
      <c r="AI29" s="25" t="s">
        <v>212</v>
      </c>
      <c r="AJ29" s="32" t="s">
        <v>140</v>
      </c>
    </row>
    <row r="30" customFormat="false" ht="35.05" hidden="false" customHeight="false" outlineLevel="0" collapsed="false">
      <c r="B30" s="25" t="s">
        <v>301</v>
      </c>
      <c r="C30" s="25" t="s">
        <v>302</v>
      </c>
      <c r="G30" s="19" t="n">
        <v>349900</v>
      </c>
      <c r="L30" s="25" t="s">
        <v>303</v>
      </c>
      <c r="AI30" s="25" t="s">
        <v>212</v>
      </c>
      <c r="AJ30" s="32" t="s">
        <v>140</v>
      </c>
    </row>
  </sheetData>
  <dataValidations count="3">
    <dataValidation allowBlank="false" errorStyle="stop" operator="between" showDropDown="false" showErrorMessage="false" showInputMessage="false" sqref="M6:M12" type="list">
      <formula1>Assumptions!$B$22:$B$25</formula1>
      <formula2>0</formula2>
    </dataValidation>
    <dataValidation allowBlank="false" errorStyle="stop" operator="between" showDropDown="false" showErrorMessage="false" showInputMessage="false" sqref="P6:P12" type="list">
      <formula1>"STR,Seasonal"</formula1>
      <formula2>0</formula2>
    </dataValidation>
    <dataValidation allowBlank="false" errorStyle="stop" operator="between" showDropDown="false" showErrorMessage="false" showInputMessage="false" sqref="N6:N12" type="list">
      <formula1>"Y,N"</formula1>
      <formula2>0</formula2>
    </dataValidation>
  </dataValidations>
  <hyperlinks>
    <hyperlink ref="AJ6" r:id="rId2" display="Zillow"/>
    <hyperlink ref="AJ7" r:id="rId3" display="Zillow"/>
    <hyperlink ref="AJ8" r:id="rId4" display="Zillow"/>
    <hyperlink ref="AJ9" r:id="rId5" display="Zillow"/>
    <hyperlink ref="AJ10" r:id="rId6" display="Zillow"/>
    <hyperlink ref="AJ11" r:id="rId7" display="Zillow"/>
    <hyperlink ref="AJ12" r:id="rId8" display="Zillow"/>
    <hyperlink ref="AJ17" r:id="rId9" display="Zillow"/>
    <hyperlink ref="AJ18" r:id="rId10" display="Zillow"/>
    <hyperlink ref="AJ19" r:id="rId11" display="Zillow"/>
    <hyperlink ref="AJ20" r:id="rId12" display="Zillow"/>
    <hyperlink ref="AJ21" r:id="rId13" display="Zillow"/>
    <hyperlink ref="AJ22" r:id="rId14" display="Zillow"/>
    <hyperlink ref="AJ23" r:id="rId15" display="Zillow"/>
    <hyperlink ref="AJ24" r:id="rId16" display="Zillow"/>
    <hyperlink ref="AJ25" r:id="rId17" display="Zillow"/>
    <hyperlink ref="AJ26" r:id="rId18" display="Zillow"/>
    <hyperlink ref="AJ27" r:id="rId19" display="Zillow"/>
    <hyperlink ref="AJ28" r:id="rId20" display="Zillow"/>
    <hyperlink ref="AJ29" r:id="rId21" display="Zillow"/>
    <hyperlink ref="AJ30" r:id="rId2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6" min="15" style="0" width="9"/>
    <col collapsed="false" customWidth="true" hidden="false" outlineLevel="0" max="17" min="17" style="0" width="12"/>
    <col collapsed="false" customWidth="true" hidden="false" outlineLevel="0" max="18" min="18" style="0" width="8"/>
    <col collapsed="false" customWidth="true" hidden="false" outlineLevel="0" max="21" min="19" style="0" width="10"/>
    <col collapsed="false" customWidth="true" hidden="false" outlineLevel="0" max="22" min="22" style="0" width="11"/>
    <col collapsed="false" customWidth="true" hidden="false" outlineLevel="0" max="23" min="23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0" min="30" style="0" width="12"/>
    <col collapsed="false" customWidth="true" hidden="false" outlineLevel="0" max="32" min="31" style="0" width="8"/>
    <col collapsed="false" customWidth="true" hidden="false" outlineLevel="0" max="33" min="33" style="0" width="16"/>
    <col collapsed="false" customWidth="true" hidden="false" outlineLevel="0" max="34" min="34" style="0" width="6"/>
    <col collapsed="false" customWidth="true" hidden="false" outlineLevel="0" max="35" min="35" style="0" width="50"/>
    <col collapsed="false" customWidth="true" hidden="false" outlineLevel="0" max="36" min="36" style="0" width="14"/>
  </cols>
  <sheetData>
    <row r="1" customFormat="false" ht="17.35" hidden="false" customHeight="false" outlineLevel="0" collapsed="false">
      <c r="A1" s="1" t="s">
        <v>304</v>
      </c>
    </row>
    <row r="2" customFormat="false" ht="15" hidden="false" customHeight="false" outlineLevel="0" collapsed="false">
      <c r="A2" s="2" t="s">
        <v>305</v>
      </c>
    </row>
    <row r="3" customFormat="false" ht="15" hidden="false" customHeight="false" outlineLevel="0" collapsed="false">
      <c r="A3" s="2" t="s">
        <v>104</v>
      </c>
    </row>
    <row r="5" customFormat="false" ht="42" hidden="false" customHeight="true" outlineLevel="0" collapsed="false">
      <c r="A5" s="3" t="s">
        <v>105</v>
      </c>
      <c r="B5" s="3" t="s">
        <v>3</v>
      </c>
      <c r="C5" s="3" t="s">
        <v>4</v>
      </c>
      <c r="D5" s="3" t="s">
        <v>106</v>
      </c>
      <c r="E5" s="3" t="s">
        <v>107</v>
      </c>
      <c r="F5" s="3" t="s">
        <v>108</v>
      </c>
      <c r="G5" s="3" t="s">
        <v>109</v>
      </c>
      <c r="H5" s="3" t="s">
        <v>5</v>
      </c>
      <c r="I5" s="3" t="s">
        <v>110</v>
      </c>
      <c r="J5" s="3" t="s">
        <v>111</v>
      </c>
      <c r="K5" s="3" t="s">
        <v>112</v>
      </c>
      <c r="L5" s="3" t="s">
        <v>113</v>
      </c>
      <c r="M5" s="3" t="s">
        <v>114</v>
      </c>
      <c r="N5" s="3" t="s">
        <v>115</v>
      </c>
      <c r="O5" s="3" t="s">
        <v>116</v>
      </c>
      <c r="P5" s="3" t="s">
        <v>117</v>
      </c>
      <c r="Q5" s="23" t="s">
        <v>118</v>
      </c>
      <c r="R5" s="23" t="s">
        <v>119</v>
      </c>
      <c r="S5" s="23" t="s">
        <v>120</v>
      </c>
      <c r="T5" s="23" t="s">
        <v>121</v>
      </c>
      <c r="U5" s="23" t="s">
        <v>122</v>
      </c>
      <c r="V5" s="23" t="s">
        <v>7</v>
      </c>
      <c r="W5" s="23" t="s">
        <v>8</v>
      </c>
      <c r="X5" s="23" t="s">
        <v>9</v>
      </c>
      <c r="Y5" s="23" t="s">
        <v>10</v>
      </c>
      <c r="Z5" s="23" t="s">
        <v>123</v>
      </c>
      <c r="AA5" s="23" t="s">
        <v>124</v>
      </c>
      <c r="AB5" s="23" t="s">
        <v>125</v>
      </c>
      <c r="AC5" s="23" t="s">
        <v>11</v>
      </c>
      <c r="AD5" s="23" t="s">
        <v>12</v>
      </c>
      <c r="AE5" s="23" t="s">
        <v>126</v>
      </c>
      <c r="AF5" s="23" t="s">
        <v>127</v>
      </c>
      <c r="AG5" s="3" t="s">
        <v>128</v>
      </c>
      <c r="AH5" s="3" t="s">
        <v>129</v>
      </c>
      <c r="AI5" s="3" t="s">
        <v>130</v>
      </c>
      <c r="AJ5" s="3" t="s">
        <v>131</v>
      </c>
    </row>
    <row r="6" customFormat="false" ht="46.25" hidden="false" customHeight="false" outlineLevel="0" collapsed="false">
      <c r="A6" s="13" t="n">
        <v>1</v>
      </c>
      <c r="B6" s="25" t="s">
        <v>306</v>
      </c>
      <c r="C6" s="25" t="s">
        <v>307</v>
      </c>
      <c r="D6" s="26" t="s">
        <v>80</v>
      </c>
      <c r="E6" s="25" t="s">
        <v>134</v>
      </c>
      <c r="F6" s="25" t="s">
        <v>308</v>
      </c>
      <c r="G6" s="19" t="n">
        <v>475000</v>
      </c>
      <c r="H6" s="19" t="n">
        <v>460000</v>
      </c>
      <c r="I6" s="18" t="n">
        <v>0</v>
      </c>
      <c r="J6" s="27" t="n">
        <f aca="false">Assumptions!$C$15</f>
        <v>0.25</v>
      </c>
      <c r="K6" s="19" t="n">
        <v>60000</v>
      </c>
      <c r="L6" s="25" t="s">
        <v>309</v>
      </c>
      <c r="M6" s="26" t="s">
        <v>70</v>
      </c>
      <c r="N6" s="26" t="s">
        <v>137</v>
      </c>
      <c r="O6" s="19" t="n">
        <v>0</v>
      </c>
      <c r="P6" s="26" t="s">
        <v>93</v>
      </c>
      <c r="Q6" s="21" t="n">
        <f aca="false">H6*(1-J6)</f>
        <v>345000</v>
      </c>
      <c r="R6" s="28" t="n">
        <f aca="false">IF((1-J6)&gt;0.75,Assumptions!$C$11,IF((1-J6)&gt;0.7,Assumptions!$C$12,Assumptions!$C$13))</f>
        <v>0.0725</v>
      </c>
      <c r="S6" s="21" t="n">
        <f aca="false">PMT(R6/12,Assumptions!$C$14,-Q6)</f>
        <v>2353.50816619386</v>
      </c>
      <c r="T6" s="21" t="n">
        <f aca="false">H6*INDEX(Assumptions!$C$28:$C$33,MATCH(D6,Assumptions!$B$28:$B$33,0))/12</f>
        <v>651.666666666667</v>
      </c>
      <c r="U6" s="21" t="n">
        <f aca="false">(INDEX(Assumptions!$D$28:$D$33,MATCH(D6,Assumptions!$B$28:$B$33,0))+INDEX(Assumptions!$C$22:$C$25,MATCH(M6,Assumptions!$B$22:$B$25,0)))/12</f>
        <v>750</v>
      </c>
      <c r="V6" s="21" t="n">
        <f aca="false">S6+T6+U6+O6</f>
        <v>3755.17483286053</v>
      </c>
      <c r="W6" s="29" t="n">
        <f aca="false">IFERROR(K6/12/V6,0)</f>
        <v>1.33149592829776</v>
      </c>
      <c r="X6" s="29" t="n">
        <f aca="false">IFERROR(K6*Assumptions!$C$18/12/V6,0)</f>
        <v>1.0651967426382</v>
      </c>
      <c r="Y6" s="21" t="n">
        <f aca="false">H6*J6+H6*(Assumptions!$C$16-I6)</f>
        <v>133400</v>
      </c>
      <c r="Z6" s="21" t="n">
        <f aca="false">V6*Assumptions!$C$17</f>
        <v>22531.0489971632</v>
      </c>
      <c r="AA6" s="21" t="n">
        <f aca="false">K6*INDEX(Assumptions!$H$36:$H$37,MATCH(P6,Assumptions!$B$36:$B$37,0))+Assumptions!$C$40+IF(N6="Y",Assumptions!$C$41,Assumptions!$C$42)</f>
        <v>28800</v>
      </c>
      <c r="AB6" s="21" t="n">
        <f aca="false">K6*INDEX(Assumptions!$C$36:$C$37,MATCH(P6,Assumptions!$B$36:$B$37,0))</f>
        <v>12000</v>
      </c>
      <c r="AC6" s="21" t="n">
        <f aca="false">K6-AA6-V6*12</f>
        <v>-13862.0979943264</v>
      </c>
      <c r="AD6" s="21" t="n">
        <f aca="false">AC6-AB6</f>
        <v>-25862.0979943264</v>
      </c>
      <c r="AE6" s="22" t="n">
        <f aca="false">IFERROR(K6/H6,0)</f>
        <v>0.130434782608696</v>
      </c>
      <c r="AF6" s="22" t="n">
        <f aca="false">IFERROR((K6-AA6-AB6)/H6,0)</f>
        <v>0.0417391304347826</v>
      </c>
      <c r="AG6" s="25"/>
      <c r="AH6" s="13" t="n">
        <v>14</v>
      </c>
      <c r="AI6" s="25" t="s">
        <v>310</v>
      </c>
      <c r="AJ6" s="32" t="s">
        <v>140</v>
      </c>
    </row>
    <row r="7" customFormat="false" ht="35.05" hidden="false" customHeight="false" outlineLevel="0" collapsed="false">
      <c r="A7" s="33" t="n">
        <v>2</v>
      </c>
      <c r="B7" s="34" t="s">
        <v>311</v>
      </c>
      <c r="C7" s="34" t="s">
        <v>312</v>
      </c>
      <c r="D7" s="35" t="s">
        <v>80</v>
      </c>
      <c r="E7" s="34" t="s">
        <v>201</v>
      </c>
      <c r="F7" s="34" t="s">
        <v>313</v>
      </c>
      <c r="G7" s="36" t="n">
        <v>589900</v>
      </c>
      <c r="H7" s="36" t="n">
        <v>589900</v>
      </c>
      <c r="I7" s="37" t="n">
        <v>0</v>
      </c>
      <c r="J7" s="38" t="n">
        <f aca="false">Assumptions!$C$15</f>
        <v>0.25</v>
      </c>
      <c r="K7" s="36" t="n">
        <v>60000</v>
      </c>
      <c r="L7" s="34" t="s">
        <v>314</v>
      </c>
      <c r="M7" s="35" t="s">
        <v>66</v>
      </c>
      <c r="N7" s="35" t="s">
        <v>146</v>
      </c>
      <c r="O7" s="36" t="n">
        <v>583</v>
      </c>
      <c r="P7" s="35" t="s">
        <v>93</v>
      </c>
      <c r="Q7" s="39" t="n">
        <f aca="false">H7*(1-J7)</f>
        <v>442425</v>
      </c>
      <c r="R7" s="40" t="n">
        <f aca="false">IF((1-J7)&gt;0.75,Assumptions!$C$11,IF((1-J7)&gt;0.7,Assumptions!$C$12,Assumptions!$C$13))</f>
        <v>0.0725</v>
      </c>
      <c r="S7" s="39" t="n">
        <f aca="false">PMT(R7/12,Assumptions!$C$14,-Q7)</f>
        <v>3018.11840703861</v>
      </c>
      <c r="T7" s="39" t="n">
        <f aca="false">H7*INDEX(Assumptions!$C$28:$C$33,MATCH(D7,Assumptions!$B$28:$B$33,0))/12</f>
        <v>835.691666666667</v>
      </c>
      <c r="U7" s="39" t="n">
        <f aca="false">(INDEX(Assumptions!$D$28:$D$33,MATCH(D7,Assumptions!$B$28:$B$33,0))+INDEX(Assumptions!$C$22:$C$25,MATCH(M7,Assumptions!$B$22:$B$25,0)))/12</f>
        <v>958.333333333333</v>
      </c>
      <c r="V7" s="39" t="n">
        <f aca="false">S7+T7+U7+O7</f>
        <v>5395.14340703861</v>
      </c>
      <c r="W7" s="41" t="n">
        <f aca="false">IFERROR(K7/12/V7,0)</f>
        <v>0.926759424684969</v>
      </c>
      <c r="X7" s="41" t="n">
        <f aca="false">IFERROR(K7*Assumptions!$C$18/12/V7,0)</f>
        <v>0.741407539747975</v>
      </c>
      <c r="Y7" s="39" t="n">
        <f aca="false">H7*J7+H7*(Assumptions!$C$16-I7)</f>
        <v>171071</v>
      </c>
      <c r="Z7" s="39" t="n">
        <f aca="false">V7*Assumptions!$C$17</f>
        <v>32370.8604422316</v>
      </c>
      <c r="AA7" s="39" t="n">
        <f aca="false">K7*INDEX(Assumptions!$H$36:$H$37,MATCH(P7,Assumptions!$B$36:$B$37,0))+Assumptions!$C$40+IF(N7="Y",Assumptions!$C$41,Assumptions!$C$42)</f>
        <v>27000</v>
      </c>
      <c r="AB7" s="39" t="n">
        <f aca="false">K7*INDEX(Assumptions!$C$36:$C$37,MATCH(P7,Assumptions!$B$36:$B$37,0))</f>
        <v>12000</v>
      </c>
      <c r="AC7" s="39" t="n">
        <f aca="false">K7-AA7-V7*12</f>
        <v>-31741.7208844633</v>
      </c>
      <c r="AD7" s="39" t="n">
        <f aca="false">AC7-AB7</f>
        <v>-43741.7208844633</v>
      </c>
      <c r="AE7" s="42" t="n">
        <f aca="false">IFERROR(K7/H7,0)</f>
        <v>0.101712154602475</v>
      </c>
      <c r="AF7" s="42" t="n">
        <f aca="false">IFERROR((K7-AA7-AB7)/H7,0)</f>
        <v>0.0355992541108663</v>
      </c>
      <c r="AG7" s="34"/>
      <c r="AH7" s="33" t="n">
        <v>23</v>
      </c>
      <c r="AI7" s="34" t="s">
        <v>315</v>
      </c>
      <c r="AJ7" s="43" t="s">
        <v>140</v>
      </c>
    </row>
    <row r="8" customFormat="false" ht="35.05" hidden="false" customHeight="false" outlineLevel="0" collapsed="false">
      <c r="A8" s="13" t="n">
        <v>3</v>
      </c>
      <c r="B8" s="25" t="s">
        <v>316</v>
      </c>
      <c r="C8" s="25" t="s">
        <v>317</v>
      </c>
      <c r="D8" s="26" t="s">
        <v>82</v>
      </c>
      <c r="E8" s="25" t="s">
        <v>201</v>
      </c>
      <c r="F8" s="25" t="s">
        <v>318</v>
      </c>
      <c r="G8" s="19" t="n">
        <v>530000</v>
      </c>
      <c r="H8" s="19" t="n">
        <v>530000</v>
      </c>
      <c r="I8" s="18" t="n">
        <v>0</v>
      </c>
      <c r="J8" s="27" t="n">
        <f aca="false">Assumptions!$C$15</f>
        <v>0.25</v>
      </c>
      <c r="K8" s="19" t="n">
        <v>29250</v>
      </c>
      <c r="L8" s="25" t="s">
        <v>319</v>
      </c>
      <c r="M8" s="26" t="s">
        <v>70</v>
      </c>
      <c r="N8" s="26" t="s">
        <v>146</v>
      </c>
      <c r="O8" s="19" t="n">
        <v>520</v>
      </c>
      <c r="P8" s="26" t="s">
        <v>95</v>
      </c>
      <c r="Q8" s="21" t="n">
        <f aca="false">H8*(1-J8)</f>
        <v>397500</v>
      </c>
      <c r="R8" s="28" t="n">
        <f aca="false">IF((1-J8)&gt;0.75,Assumptions!$C$11,IF((1-J8)&gt;0.7,Assumptions!$C$12,Assumptions!$C$13))</f>
        <v>0.0725</v>
      </c>
      <c r="S8" s="21" t="n">
        <f aca="false">PMT(R8/12,Assumptions!$C$14,-Q8)</f>
        <v>2711.65071322336</v>
      </c>
      <c r="T8" s="21" t="n">
        <f aca="false">H8*INDEX(Assumptions!$C$28:$C$33,MATCH(D8,Assumptions!$B$28:$B$33,0))/12</f>
        <v>728.75</v>
      </c>
      <c r="U8" s="21" t="n">
        <f aca="false">(INDEX(Assumptions!$D$28:$D$33,MATCH(D8,Assumptions!$B$28:$B$33,0))+INDEX(Assumptions!$C$22:$C$25,MATCH(M8,Assumptions!$B$22:$B$25,0)))/12</f>
        <v>750</v>
      </c>
      <c r="V8" s="21" t="n">
        <f aca="false">S8+T8+U8+O8</f>
        <v>4710.40071322336</v>
      </c>
      <c r="W8" s="29" t="n">
        <f aca="false">IFERROR(K8/12/V8,0)</f>
        <v>0.51747189854937</v>
      </c>
      <c r="X8" s="29" t="n">
        <f aca="false">IFERROR(K8*Assumptions!$C$18/12/V8,0)</f>
        <v>0.413977518839496</v>
      </c>
      <c r="Y8" s="21" t="n">
        <f aca="false">H8*J8+H8*(Assumptions!$C$16-I8)</f>
        <v>153700</v>
      </c>
      <c r="Z8" s="21" t="n">
        <f aca="false">V8*Assumptions!$C$17</f>
        <v>28262.4042793402</v>
      </c>
      <c r="AA8" s="21" t="n">
        <f aca="false">K8*INDEX(Assumptions!$H$36:$H$37,MATCH(P8,Assumptions!$B$36:$B$37,0))+Assumptions!$C$40+IF(N8="Y",Assumptions!$C$41,Assumptions!$C$42)</f>
        <v>11880</v>
      </c>
      <c r="AB8" s="21" t="n">
        <f aca="false">K8*INDEX(Assumptions!$C$36:$C$37,MATCH(P8,Assumptions!$B$36:$B$37,0))</f>
        <v>3510</v>
      </c>
      <c r="AC8" s="21" t="n">
        <f aca="false">K8-AA8-V8*12</f>
        <v>-39154.8085586803</v>
      </c>
      <c r="AD8" s="21" t="n">
        <f aca="false">AC8-AB8</f>
        <v>-42664.8085586803</v>
      </c>
      <c r="AE8" s="22" t="n">
        <f aca="false">IFERROR(K8/H8,0)</f>
        <v>0.055188679245283</v>
      </c>
      <c r="AF8" s="22" t="n">
        <f aca="false">IFERROR((K8-AA8-AB8)/H8,0)</f>
        <v>0.0261509433962264</v>
      </c>
      <c r="AG8" s="25"/>
      <c r="AH8" s="13" t="n">
        <v>126</v>
      </c>
      <c r="AI8" s="25" t="s">
        <v>320</v>
      </c>
      <c r="AJ8" s="32" t="s">
        <v>140</v>
      </c>
    </row>
    <row r="11" customFormat="false" ht="15" hidden="false" customHeight="false" outlineLevel="0" collapsed="false">
      <c r="A11" s="10" t="s">
        <v>321</v>
      </c>
    </row>
    <row r="12" customFormat="false" ht="15" hidden="false" customHeight="false" outlineLevel="0" collapsed="false">
      <c r="B12" s="3" t="s">
        <v>3</v>
      </c>
      <c r="C12" s="3" t="s">
        <v>4</v>
      </c>
      <c r="G12" s="3" t="s">
        <v>206</v>
      </c>
      <c r="L12" s="3" t="s">
        <v>207</v>
      </c>
      <c r="AI12" s="3" t="s">
        <v>208</v>
      </c>
      <c r="AJ12" s="3" t="s">
        <v>209</v>
      </c>
    </row>
    <row r="13" customFormat="false" ht="35.05" hidden="false" customHeight="false" outlineLevel="0" collapsed="false">
      <c r="B13" s="25" t="s">
        <v>322</v>
      </c>
      <c r="C13" s="25" t="s">
        <v>323</v>
      </c>
      <c r="G13" s="19" t="n">
        <v>599000</v>
      </c>
      <c r="L13" s="25" t="s">
        <v>324</v>
      </c>
      <c r="AI13" s="25" t="s">
        <v>212</v>
      </c>
      <c r="AJ13" s="32" t="s">
        <v>140</v>
      </c>
    </row>
    <row r="14" customFormat="false" ht="23.85" hidden="false" customHeight="false" outlineLevel="0" collapsed="false">
      <c r="B14" s="25" t="s">
        <v>325</v>
      </c>
      <c r="C14" s="25" t="s">
        <v>326</v>
      </c>
      <c r="G14" s="19" t="n">
        <v>542500</v>
      </c>
      <c r="L14" s="25" t="s">
        <v>327</v>
      </c>
      <c r="AI14" s="25" t="s">
        <v>212</v>
      </c>
      <c r="AJ14" s="32" t="s">
        <v>140</v>
      </c>
    </row>
    <row r="15" customFormat="false" ht="35.05" hidden="false" customHeight="false" outlineLevel="0" collapsed="false">
      <c r="B15" s="25" t="s">
        <v>328</v>
      </c>
      <c r="C15" s="25" t="s">
        <v>323</v>
      </c>
      <c r="G15" s="19" t="n">
        <v>599900</v>
      </c>
      <c r="L15" s="25" t="s">
        <v>329</v>
      </c>
      <c r="AI15" s="25" t="s">
        <v>212</v>
      </c>
      <c r="AJ15" s="32" t="s">
        <v>140</v>
      </c>
    </row>
    <row r="16" customFormat="false" ht="35.05" hidden="false" customHeight="false" outlineLevel="0" collapsed="false">
      <c r="B16" s="25" t="s">
        <v>330</v>
      </c>
      <c r="C16" s="25" t="s">
        <v>323</v>
      </c>
      <c r="G16" s="19" t="n">
        <v>659900</v>
      </c>
      <c r="L16" s="25" t="s">
        <v>331</v>
      </c>
      <c r="AI16" s="25" t="s">
        <v>212</v>
      </c>
      <c r="AJ16" s="32" t="s">
        <v>140</v>
      </c>
    </row>
    <row r="17" customFormat="false" ht="15" hidden="false" customHeight="false" outlineLevel="0" collapsed="false">
      <c r="B17" s="25" t="s">
        <v>332</v>
      </c>
      <c r="C17" s="25" t="s">
        <v>326</v>
      </c>
      <c r="G17" s="19" t="n">
        <v>390000</v>
      </c>
      <c r="L17" s="25" t="s">
        <v>333</v>
      </c>
      <c r="AI17" s="25" t="s">
        <v>212</v>
      </c>
      <c r="AJ17" s="32" t="s">
        <v>140</v>
      </c>
    </row>
    <row r="18" customFormat="false" ht="23.85" hidden="false" customHeight="false" outlineLevel="0" collapsed="false">
      <c r="B18" s="25" t="s">
        <v>334</v>
      </c>
      <c r="C18" s="25" t="s">
        <v>335</v>
      </c>
      <c r="G18" s="19" t="n">
        <v>599000</v>
      </c>
      <c r="L18" s="25" t="s">
        <v>336</v>
      </c>
      <c r="AI18" s="25" t="s">
        <v>212</v>
      </c>
      <c r="AJ18" s="32" t="s">
        <v>140</v>
      </c>
    </row>
    <row r="19" customFormat="false" ht="35.05" hidden="false" customHeight="false" outlineLevel="0" collapsed="false">
      <c r="B19" s="25" t="s">
        <v>337</v>
      </c>
      <c r="C19" s="25" t="s">
        <v>338</v>
      </c>
      <c r="G19" s="19" t="n">
        <v>659000</v>
      </c>
      <c r="L19" s="25" t="s">
        <v>339</v>
      </c>
      <c r="AI19" s="25" t="s">
        <v>212</v>
      </c>
      <c r="AJ19" s="32" t="s">
        <v>140</v>
      </c>
    </row>
    <row r="20" customFormat="false" ht="23.85" hidden="false" customHeight="false" outlineLevel="0" collapsed="false">
      <c r="B20" s="25" t="s">
        <v>340</v>
      </c>
      <c r="C20" s="25" t="s">
        <v>341</v>
      </c>
      <c r="G20" s="19" t="n">
        <v>449900</v>
      </c>
      <c r="L20" s="25" t="s">
        <v>342</v>
      </c>
      <c r="AI20" s="25" t="s">
        <v>212</v>
      </c>
      <c r="AJ20" s="32" t="s">
        <v>140</v>
      </c>
    </row>
    <row r="21" customFormat="false" ht="23.85" hidden="false" customHeight="false" outlineLevel="0" collapsed="false">
      <c r="B21" s="25" t="s">
        <v>343</v>
      </c>
      <c r="C21" s="25" t="s">
        <v>344</v>
      </c>
      <c r="G21" s="19" t="n">
        <v>665000</v>
      </c>
      <c r="L21" s="25" t="s">
        <v>345</v>
      </c>
      <c r="AI21" s="25" t="s">
        <v>212</v>
      </c>
      <c r="AJ21" s="32" t="s">
        <v>140</v>
      </c>
    </row>
  </sheetData>
  <dataValidations count="3">
    <dataValidation allowBlank="false" errorStyle="stop" operator="between" showDropDown="false" showErrorMessage="false" showInputMessage="false" sqref="M6:M8" type="list">
      <formula1>Assumptions!$B$22:$B$25</formula1>
      <formula2>0</formula2>
    </dataValidation>
    <dataValidation allowBlank="false" errorStyle="stop" operator="between" showDropDown="false" showErrorMessage="false" showInputMessage="false" sqref="P6:P8" type="list">
      <formula1>"STR,Seasonal"</formula1>
      <formula2>0</formula2>
    </dataValidation>
    <dataValidation allowBlank="false" errorStyle="stop" operator="between" showDropDown="false" showErrorMessage="false" showInputMessage="false" sqref="N6:N8" type="list">
      <formula1>"Y,N"</formula1>
      <formula2>0</formula2>
    </dataValidation>
  </dataValidations>
  <hyperlinks>
    <hyperlink ref="AJ6" r:id="rId1" display="Zillow"/>
    <hyperlink ref="AJ7" r:id="rId2" display="Zillow"/>
    <hyperlink ref="AJ8" r:id="rId3" display="Zillow"/>
    <hyperlink ref="AJ13" r:id="rId4" display="Zillow"/>
    <hyperlink ref="AJ14" r:id="rId5" display="Zillow"/>
    <hyperlink ref="AJ15" r:id="rId6" display="Zillow"/>
    <hyperlink ref="AJ16" r:id="rId7" display="Zillow"/>
    <hyperlink ref="AJ17" r:id="rId8" display="Zillow"/>
    <hyperlink ref="AJ18" r:id="rId9" display="Zillow"/>
    <hyperlink ref="AJ19" r:id="rId10" display="Zillow"/>
    <hyperlink ref="AJ20" r:id="rId11" display="Zillow"/>
    <hyperlink ref="AJ21" r:id="rId1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1" min="10" style="0" width="9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1" t="s">
        <v>346</v>
      </c>
    </row>
    <row r="2" customFormat="false" ht="15" hidden="false" customHeight="false" outlineLevel="0" collapsed="false">
      <c r="A2" s="2" t="s">
        <v>347</v>
      </c>
    </row>
    <row r="4" customFormat="false" ht="42" hidden="false" customHeight="true" outlineLevel="0" collapsed="false">
      <c r="A4" s="3" t="s">
        <v>348</v>
      </c>
      <c r="B4" s="3" t="s">
        <v>349</v>
      </c>
      <c r="C4" s="3" t="s">
        <v>5</v>
      </c>
      <c r="D4" s="3" t="s">
        <v>110</v>
      </c>
      <c r="E4" s="3" t="s">
        <v>350</v>
      </c>
      <c r="F4" s="3" t="s">
        <v>351</v>
      </c>
      <c r="G4" s="3" t="s">
        <v>119</v>
      </c>
      <c r="H4" s="3" t="s">
        <v>120</v>
      </c>
      <c r="I4" s="3" t="s">
        <v>7</v>
      </c>
      <c r="J4" s="3" t="s">
        <v>8</v>
      </c>
      <c r="K4" s="3" t="s">
        <v>352</v>
      </c>
      <c r="L4" s="3" t="s">
        <v>353</v>
      </c>
      <c r="M4" s="3" t="s">
        <v>11</v>
      </c>
      <c r="N4" s="3" t="s">
        <v>12</v>
      </c>
      <c r="O4" s="3" t="s">
        <v>354</v>
      </c>
      <c r="P4" s="3" t="s">
        <v>355</v>
      </c>
    </row>
    <row r="5" customFormat="false" ht="15" hidden="false" customHeight="false" outlineLevel="0" collapsed="false">
      <c r="A5" s="44" t="str">
        <f aca="false">'Manatee-Sarasota'!$B$6</f>
        <v>8404 43rd Ave Terrace W</v>
      </c>
      <c r="B5" s="17" t="n">
        <v>0.2</v>
      </c>
      <c r="C5" s="45" t="n">
        <f aca="false">'Manatee-Sarasota'!$H$6</f>
        <v>560000</v>
      </c>
      <c r="D5" s="27" t="n">
        <f aca="false">'Manatee-Sarasota'!$I$6</f>
        <v>0.03</v>
      </c>
      <c r="E5" s="45" t="n">
        <f aca="false">'Manatee-Sarasota'!$K$6</f>
        <v>85000</v>
      </c>
      <c r="F5" s="21" t="n">
        <f aca="false">C5*(1-B5)</f>
        <v>448000</v>
      </c>
      <c r="G5" s="28" t="n">
        <f aca="false">IF((1-B5)&gt;0.75,Assumptions!$C$11,IF((1-B5)&gt;0.7,Assumptions!$C$12,Assumptions!$C$13))</f>
        <v>0.075</v>
      </c>
      <c r="H5" s="21" t="n">
        <f aca="false">PMT(G5/12,Assumptions!$C$14,-F5)</f>
        <v>3132.48099831645</v>
      </c>
      <c r="I5" s="21" t="n">
        <f aca="false">H5+C5*INDEX(Assumptions!$C$28:$C$33,MATCH('Manatee-Sarasota'!$D$6,Assumptions!$B$28:$B$33,0))/12+(INDEX(Assumptions!$D$28:$D$33,MATCH('Manatee-Sarasota'!$D$6,Assumptions!$B$28:$B$33,0))+INDEX(Assumptions!$C$22:$C$25,MATCH('Manatee-Sarasota'!$M$6,Assumptions!$B$22:$B$25,0)))/12+'Manatee-Sarasota'!$O$6</f>
        <v>4582.48099831645</v>
      </c>
      <c r="J5" s="29" t="n">
        <f aca="false">IFERROR(E5/12/I5,0)</f>
        <v>1.54574199782512</v>
      </c>
      <c r="K5" s="29" t="n">
        <f aca="false">IFERROR(E5*Assumptions!$C$18/12/I5,0)</f>
        <v>1.2365935982601</v>
      </c>
      <c r="L5" s="21" t="n">
        <f aca="false">C5*B5+C5*(Assumptions!$C$16-D5)</f>
        <v>117600</v>
      </c>
      <c r="M5" s="21" t="n">
        <f aca="false">E5-(E5*INDEX(Assumptions!$H$36:$H$37,MATCH('Manatee-Sarasota'!$P$6,Assumptions!$B$36:$B$37,0))+Assumptions!$C$40+IF('Manatee-Sarasota'!$N$6="Y",Assumptions!$C$41,Assumptions!$C$42))-I5*12</f>
        <v>-7039.77197979741</v>
      </c>
      <c r="N5" s="21" t="n">
        <f aca="false">M5-E5*INDEX(Assumptions!$C$36:$C$37,MATCH('Manatee-Sarasota'!$P$6,Assumptions!$B$36:$B$37,0))</f>
        <v>-24039.7719797974</v>
      </c>
      <c r="O5" s="22" t="n">
        <f aca="false">IFERROR(M5/L5,0)</f>
        <v>-0.0598620066309303</v>
      </c>
      <c r="P5" s="46" t="s">
        <v>356</v>
      </c>
    </row>
    <row r="6" customFormat="false" ht="15" hidden="false" customHeight="false" outlineLevel="0" collapsed="false">
      <c r="A6" s="44" t="str">
        <f aca="false">'Manatee-Sarasota'!$B$6</f>
        <v>8404 43rd Ave Terrace W</v>
      </c>
      <c r="B6" s="17" t="n">
        <v>0.25</v>
      </c>
      <c r="C6" s="45" t="n">
        <f aca="false">'Manatee-Sarasota'!$H$6</f>
        <v>560000</v>
      </c>
      <c r="D6" s="27" t="n">
        <f aca="false">'Manatee-Sarasota'!$I$6</f>
        <v>0.03</v>
      </c>
      <c r="E6" s="45" t="n">
        <f aca="false">'Manatee-Sarasota'!$K$6</f>
        <v>85000</v>
      </c>
      <c r="F6" s="21" t="n">
        <f aca="false">C6*(1-B6)</f>
        <v>420000</v>
      </c>
      <c r="G6" s="28" t="n">
        <f aca="false">IF((1-B6)&gt;0.75,Assumptions!$C$11,IF((1-B6)&gt;0.7,Assumptions!$C$12,Assumptions!$C$13))</f>
        <v>0.0725</v>
      </c>
      <c r="H6" s="21" t="n">
        <f aca="false">PMT(G6/12,Assumptions!$C$14,-F6)</f>
        <v>2865.14037623601</v>
      </c>
      <c r="I6" s="21" t="n">
        <f aca="false">H6+C6*INDEX(Assumptions!$C$28:$C$33,MATCH('Manatee-Sarasota'!$D$6,Assumptions!$B$28:$B$33,0))/12+(INDEX(Assumptions!$D$28:$D$33,MATCH('Manatee-Sarasota'!$D$6,Assumptions!$B$28:$B$33,0))+INDEX(Assumptions!$C$22:$C$25,MATCH('Manatee-Sarasota'!$M$6,Assumptions!$B$22:$B$25,0)))/12+'Manatee-Sarasota'!$O$6</f>
        <v>4315.14037623601</v>
      </c>
      <c r="J6" s="29" t="n">
        <f aca="false">IFERROR(E6/12/I6,0)</f>
        <v>1.64150704629265</v>
      </c>
      <c r="K6" s="29" t="n">
        <f aca="false">IFERROR(E6*Assumptions!$C$18/12/I6,0)</f>
        <v>1.31320563703412</v>
      </c>
      <c r="L6" s="21" t="n">
        <f aca="false">C6*B6+C6*(Assumptions!$C$16-D6)</f>
        <v>145600</v>
      </c>
      <c r="M6" s="21" t="n">
        <f aca="false">E6-(E6*INDEX(Assumptions!$H$36:$H$37,MATCH('Manatee-Sarasota'!$P$6,Assumptions!$B$36:$B$37,0))+Assumptions!$C$40+IF('Manatee-Sarasota'!$N$6="Y",Assumptions!$C$41,Assumptions!$C$42))-I6*12</f>
        <v>-3831.68451483207</v>
      </c>
      <c r="N6" s="21" t="n">
        <f aca="false">M6-E6*INDEX(Assumptions!$C$36:$C$37,MATCH('Manatee-Sarasota'!$P$6,Assumptions!$B$36:$B$37,0))</f>
        <v>-20831.6845148321</v>
      </c>
      <c r="O6" s="22" t="n">
        <f aca="false">IFERROR(M6/L6,0)</f>
        <v>-0.0263165145249455</v>
      </c>
      <c r="P6" s="22" t="n">
        <f aca="false">IFERROR((M6-M5)/(L6-L5),0)</f>
        <v>0.114574552320191</v>
      </c>
    </row>
    <row r="7" customFormat="false" ht="15" hidden="false" customHeight="false" outlineLevel="0" collapsed="false">
      <c r="A7" s="44" t="str">
        <f aca="false">'Manatee-Sarasota'!$B$6</f>
        <v>8404 43rd Ave Terrace W</v>
      </c>
      <c r="B7" s="17" t="n">
        <v>0.3</v>
      </c>
      <c r="C7" s="45" t="n">
        <f aca="false">'Manatee-Sarasota'!$H$6</f>
        <v>560000</v>
      </c>
      <c r="D7" s="27" t="n">
        <f aca="false">'Manatee-Sarasota'!$I$6</f>
        <v>0.03</v>
      </c>
      <c r="E7" s="45" t="n">
        <f aca="false">'Manatee-Sarasota'!$K$6</f>
        <v>85000</v>
      </c>
      <c r="F7" s="21" t="n">
        <f aca="false">C7*(1-B7)</f>
        <v>392000</v>
      </c>
      <c r="G7" s="28" t="n">
        <f aca="false">IF((1-B7)&gt;0.75,Assumptions!$C$11,IF((1-B7)&gt;0.7,Assumptions!$C$12,Assumptions!$C$13))</f>
        <v>0.07125</v>
      </c>
      <c r="H7" s="21" t="n">
        <f aca="false">PMT(G7/12,Assumptions!$C$14,-F7)</f>
        <v>2640.97661134044</v>
      </c>
      <c r="I7" s="21" t="n">
        <f aca="false">H7+C7*INDEX(Assumptions!$C$28:$C$33,MATCH('Manatee-Sarasota'!$D$6,Assumptions!$B$28:$B$33,0))/12+(INDEX(Assumptions!$D$28:$D$33,MATCH('Manatee-Sarasota'!$D$6,Assumptions!$B$28:$B$33,0))+INDEX(Assumptions!$C$22:$C$25,MATCH('Manatee-Sarasota'!$M$6,Assumptions!$B$22:$B$25,0)))/12+'Manatee-Sarasota'!$O$6</f>
        <v>4090.97661134044</v>
      </c>
      <c r="J7" s="29" t="n">
        <f aca="false">IFERROR(E7/12/I7,0)</f>
        <v>1.73145290386112</v>
      </c>
      <c r="K7" s="29" t="n">
        <f aca="false">IFERROR(E7*Assumptions!$C$18/12/I7,0)</f>
        <v>1.3851623230889</v>
      </c>
      <c r="L7" s="21" t="n">
        <f aca="false">C7*B7+C7*(Assumptions!$C$16-D7)</f>
        <v>173600</v>
      </c>
      <c r="M7" s="21" t="n">
        <f aca="false">E7-(E7*INDEX(Assumptions!$H$36:$H$37,MATCH('Manatee-Sarasota'!$P$6,Assumptions!$B$36:$B$37,0))+Assumptions!$C$40+IF('Manatee-Sarasota'!$N$6="Y",Assumptions!$C$41,Assumptions!$C$42))-I7*12</f>
        <v>-1141.71933608533</v>
      </c>
      <c r="N7" s="21" t="n">
        <f aca="false">M7-E7*INDEX(Assumptions!$C$36:$C$37,MATCH('Manatee-Sarasota'!$P$6,Assumptions!$B$36:$B$37,0))</f>
        <v>-18141.7193360853</v>
      </c>
      <c r="O7" s="22" t="n">
        <f aca="false">IFERROR(M7/L7,0)</f>
        <v>-0.00657672428620584</v>
      </c>
      <c r="P7" s="22" t="n">
        <f aca="false">IFERROR((M7-M6)/(L7-L6),0)</f>
        <v>0.0960701849552406</v>
      </c>
    </row>
    <row r="9" customFormat="false" ht="15" hidden="false" customHeight="false" outlineLevel="0" collapsed="false">
      <c r="A9" s="44" t="str">
        <f aca="false">'Manatee-Sarasota'!$B$7</f>
        <v>5318 17th St W (duplex)</v>
      </c>
      <c r="B9" s="17" t="n">
        <v>0.2</v>
      </c>
      <c r="C9" s="45" t="n">
        <f aca="false">'Manatee-Sarasota'!$H$7</f>
        <v>460000</v>
      </c>
      <c r="D9" s="27" t="n">
        <f aca="false">'Manatee-Sarasota'!$I$7</f>
        <v>0</v>
      </c>
      <c r="E9" s="45" t="n">
        <f aca="false">'Manatee-Sarasota'!$K$7</f>
        <v>73000</v>
      </c>
      <c r="F9" s="21" t="n">
        <f aca="false">C9*(1-B9)</f>
        <v>368000</v>
      </c>
      <c r="G9" s="28" t="n">
        <f aca="false">IF((1-B9)&gt;0.75,Assumptions!$C$11,IF((1-B9)&gt;0.7,Assumptions!$C$12,Assumptions!$C$13))</f>
        <v>0.075</v>
      </c>
      <c r="H9" s="21" t="n">
        <f aca="false">PMT(G9/12,Assumptions!$C$14,-F9)</f>
        <v>2573.10939147423</v>
      </c>
      <c r="I9" s="21" t="n">
        <f aca="false">H9+C9*INDEX(Assumptions!$C$28:$C$33,MATCH('Manatee-Sarasota'!$D$7,Assumptions!$B$28:$B$33,0))/12+(INDEX(Assumptions!$D$28:$D$33,MATCH('Manatee-Sarasota'!$D$7,Assumptions!$B$28:$B$33,0))+INDEX(Assumptions!$C$22:$C$25,MATCH('Manatee-Sarasota'!$M$7,Assumptions!$B$22:$B$25,0)))/12+'Manatee-Sarasota'!$O$7</f>
        <v>3898.10939147423</v>
      </c>
      <c r="J9" s="29" t="n">
        <f aca="false">IFERROR(E9/12/I9,0)</f>
        <v>1.56058558711526</v>
      </c>
      <c r="K9" s="29" t="n">
        <f aca="false">IFERROR(E9*Assumptions!$C$18/12/I9,0)</f>
        <v>1.24846846969221</v>
      </c>
      <c r="L9" s="21" t="n">
        <f aca="false">C9*B9+C9*(Assumptions!$C$16-D9)</f>
        <v>110400</v>
      </c>
      <c r="M9" s="21" t="n">
        <f aca="false">E9-(E9*INDEX(Assumptions!$H$36:$H$37,MATCH('Manatee-Sarasota'!$P$7,Assumptions!$B$36:$B$37,0))+Assumptions!$C$40+IF('Manatee-Sarasota'!$N$7="Y",Assumptions!$C$41,Assumptions!$C$42))-I9*12</f>
        <v>-5067.31269769074</v>
      </c>
      <c r="N9" s="21" t="n">
        <f aca="false">M9-E9*INDEX(Assumptions!$C$36:$C$37,MATCH('Manatee-Sarasota'!$P$7,Assumptions!$B$36:$B$37,0))</f>
        <v>-19667.3126976907</v>
      </c>
      <c r="O9" s="22" t="n">
        <f aca="false">IFERROR(M9/L9,0)</f>
        <v>-0.0458995715370538</v>
      </c>
      <c r="P9" s="46" t="s">
        <v>356</v>
      </c>
    </row>
    <row r="10" customFormat="false" ht="15" hidden="false" customHeight="false" outlineLevel="0" collapsed="false">
      <c r="A10" s="44" t="str">
        <f aca="false">'Manatee-Sarasota'!$B$7</f>
        <v>5318 17th St W (duplex)</v>
      </c>
      <c r="B10" s="17" t="n">
        <v>0.25</v>
      </c>
      <c r="C10" s="45" t="n">
        <f aca="false">'Manatee-Sarasota'!$H$7</f>
        <v>460000</v>
      </c>
      <c r="D10" s="27" t="n">
        <f aca="false">'Manatee-Sarasota'!$I$7</f>
        <v>0</v>
      </c>
      <c r="E10" s="45" t="n">
        <f aca="false">'Manatee-Sarasota'!$K$7</f>
        <v>73000</v>
      </c>
      <c r="F10" s="21" t="n">
        <f aca="false">C10*(1-B10)</f>
        <v>345000</v>
      </c>
      <c r="G10" s="28" t="n">
        <f aca="false">IF((1-B10)&gt;0.75,Assumptions!$C$11,IF((1-B10)&gt;0.7,Assumptions!$C$12,Assumptions!$C$13))</f>
        <v>0.0725</v>
      </c>
      <c r="H10" s="21" t="n">
        <f aca="false">PMT(G10/12,Assumptions!$C$14,-F10)</f>
        <v>2353.50816619386</v>
      </c>
      <c r="I10" s="21" t="n">
        <f aca="false">H10+C10*INDEX(Assumptions!$C$28:$C$33,MATCH('Manatee-Sarasota'!$D$7,Assumptions!$B$28:$B$33,0))/12+(INDEX(Assumptions!$D$28:$D$33,MATCH('Manatee-Sarasota'!$D$7,Assumptions!$B$28:$B$33,0))+INDEX(Assumptions!$C$22:$C$25,MATCH('Manatee-Sarasota'!$M$7,Assumptions!$B$22:$B$25,0)))/12+'Manatee-Sarasota'!$O$7</f>
        <v>3678.50816619386</v>
      </c>
      <c r="J10" s="29" t="n">
        <f aca="false">IFERROR(E10/12/I10,0)</f>
        <v>1.65375012328102</v>
      </c>
      <c r="K10" s="29" t="n">
        <f aca="false">IFERROR(E10*Assumptions!$C$18/12/I10,0)</f>
        <v>1.32300009862482</v>
      </c>
      <c r="L10" s="21" t="n">
        <f aca="false">C10*B10+C10*(Assumptions!$C$16-D10)</f>
        <v>133400</v>
      </c>
      <c r="M10" s="21" t="n">
        <f aca="false">E10-(E10*INDEX(Assumptions!$H$36:$H$37,MATCH('Manatee-Sarasota'!$P$7,Assumptions!$B$36:$B$37,0))+Assumptions!$C$40+IF('Manatee-Sarasota'!$N$7="Y",Assumptions!$C$41,Assumptions!$C$42))-I10*12</f>
        <v>-2432.09799432634</v>
      </c>
      <c r="N10" s="21" t="n">
        <f aca="false">M10-E10*INDEX(Assumptions!$C$36:$C$37,MATCH('Manatee-Sarasota'!$P$7,Assumptions!$B$36:$B$37,0))</f>
        <v>-17032.0979943263</v>
      </c>
      <c r="O10" s="22" t="n">
        <f aca="false">IFERROR(M10/L10,0)</f>
        <v>-0.0182316191478737</v>
      </c>
      <c r="P10" s="22" t="n">
        <f aca="false">IFERROR((M10-M9)/(L10-L9),0)</f>
        <v>0.114574552320191</v>
      </c>
    </row>
    <row r="11" customFormat="false" ht="15" hidden="false" customHeight="false" outlineLevel="0" collapsed="false">
      <c r="A11" s="44" t="str">
        <f aca="false">'Manatee-Sarasota'!$B$7</f>
        <v>5318 17th St W (duplex)</v>
      </c>
      <c r="B11" s="17" t="n">
        <v>0.3</v>
      </c>
      <c r="C11" s="45" t="n">
        <f aca="false">'Manatee-Sarasota'!$H$7</f>
        <v>460000</v>
      </c>
      <c r="D11" s="27" t="n">
        <f aca="false">'Manatee-Sarasota'!$I$7</f>
        <v>0</v>
      </c>
      <c r="E11" s="45" t="n">
        <f aca="false">'Manatee-Sarasota'!$K$7</f>
        <v>73000</v>
      </c>
      <c r="F11" s="21" t="n">
        <f aca="false">C11*(1-B11)</f>
        <v>322000</v>
      </c>
      <c r="G11" s="28" t="n">
        <f aca="false">IF((1-B11)&gt;0.75,Assumptions!$C$11,IF((1-B11)&gt;0.7,Assumptions!$C$12,Assumptions!$C$13))</f>
        <v>0.07125</v>
      </c>
      <c r="H11" s="21" t="n">
        <f aca="false">PMT(G11/12,Assumptions!$C$14,-F11)</f>
        <v>2169.37364502965</v>
      </c>
      <c r="I11" s="21" t="n">
        <f aca="false">H11+C11*INDEX(Assumptions!$C$28:$C$33,MATCH('Manatee-Sarasota'!$D$7,Assumptions!$B$28:$B$33,0))/12+(INDEX(Assumptions!$D$28:$D$33,MATCH('Manatee-Sarasota'!$D$7,Assumptions!$B$28:$B$33,0))+INDEX(Assumptions!$C$22:$C$25,MATCH('Manatee-Sarasota'!$M$7,Assumptions!$B$22:$B$25,0)))/12+'Manatee-Sarasota'!$O$7</f>
        <v>3494.37364502965</v>
      </c>
      <c r="J11" s="29" t="n">
        <f aca="false">IFERROR(E11/12/I11,0)</f>
        <v>1.74089377705392</v>
      </c>
      <c r="K11" s="29" t="n">
        <f aca="false">IFERROR(E11*Assumptions!$C$18/12/I11,0)</f>
        <v>1.39271502164313</v>
      </c>
      <c r="L11" s="21" t="n">
        <f aca="false">C11*B11+C11*(Assumptions!$C$16-D11)</f>
        <v>156400</v>
      </c>
      <c r="M11" s="21" t="n">
        <f aca="false">E11-(E11*INDEX(Assumptions!$H$36:$H$37,MATCH('Manatee-Sarasota'!$P$7,Assumptions!$B$36:$B$37,0))+Assumptions!$C$40+IF('Manatee-Sarasota'!$N$7="Y",Assumptions!$C$41,Assumptions!$C$42))-I11*12</f>
        <v>-222.483740355812</v>
      </c>
      <c r="N11" s="21" t="n">
        <f aca="false">M11-E11*INDEX(Assumptions!$C$36:$C$37,MATCH('Manatee-Sarasota'!$P$7,Assumptions!$B$36:$B$37,0))</f>
        <v>-14822.4837403558</v>
      </c>
      <c r="O11" s="22" t="n">
        <f aca="false">IFERROR(M11/L11,0)</f>
        <v>-0.00142253030918038</v>
      </c>
      <c r="P11" s="22" t="n">
        <f aca="false">IFERROR((M11-M10)/(L11-L10),0)</f>
        <v>0.0960701849552405</v>
      </c>
    </row>
    <row r="13" customFormat="false" ht="15" hidden="false" customHeight="false" outlineLevel="0" collapsed="false">
      <c r="A13" s="44" t="str">
        <f aca="false">'Manatee-Sarasota'!$B$8</f>
        <v>2801 23rd Ave W ("Beachin' Escape")</v>
      </c>
      <c r="B13" s="17" t="n">
        <v>0.2</v>
      </c>
      <c r="C13" s="45" t="n">
        <f aca="false">'Manatee-Sarasota'!$H$8</f>
        <v>600000</v>
      </c>
      <c r="D13" s="27" t="n">
        <f aca="false">'Manatee-Sarasota'!$I$8</f>
        <v>0.03</v>
      </c>
      <c r="E13" s="45" t="n">
        <f aca="false">'Manatee-Sarasota'!$K$8</f>
        <v>89000</v>
      </c>
      <c r="F13" s="21" t="n">
        <f aca="false">C13*(1-B13)</f>
        <v>480000</v>
      </c>
      <c r="G13" s="28" t="n">
        <f aca="false">IF((1-B13)&gt;0.75,Assumptions!$C$11,IF((1-B13)&gt;0.7,Assumptions!$C$12,Assumptions!$C$13))</f>
        <v>0.075</v>
      </c>
      <c r="H13" s="21" t="n">
        <f aca="false">PMT(G13/12,Assumptions!$C$14,-F13)</f>
        <v>3356.22964105334</v>
      </c>
      <c r="I13" s="21" t="n">
        <f aca="false">H13+C13*INDEX(Assumptions!$C$28:$C$33,MATCH('Manatee-Sarasota'!$D$8,Assumptions!$B$28:$B$33,0))/12+(INDEX(Assumptions!$D$28:$D$33,MATCH('Manatee-Sarasota'!$D$8,Assumptions!$B$28:$B$33,0))+INDEX(Assumptions!$C$22:$C$25,MATCH('Manatee-Sarasota'!$M$8,Assumptions!$B$22:$B$25,0)))/12+'Manatee-Sarasota'!$O$8</f>
        <v>4856.22964105334</v>
      </c>
      <c r="J13" s="29" t="n">
        <f aca="false">IFERROR(E13/12/I13,0)</f>
        <v>1.52724792995126</v>
      </c>
      <c r="K13" s="29" t="n">
        <f aca="false">IFERROR(E13*Assumptions!$C$18/12/I13,0)</f>
        <v>1.22179834396101</v>
      </c>
      <c r="L13" s="21" t="n">
        <f aca="false">C13*B13+C13*(Assumptions!$C$16-D13)</f>
        <v>126000</v>
      </c>
      <c r="M13" s="21" t="n">
        <f aca="false">E13-(E13*INDEX(Assumptions!$H$36:$H$37,MATCH('Manatee-Sarasota'!$P$8,Assumptions!$B$36:$B$37,0))+Assumptions!$C$40+IF('Manatee-Sarasota'!$N$8="Y",Assumptions!$C$41,Assumptions!$C$42))-I13*12</f>
        <v>-7644.75569264008</v>
      </c>
      <c r="N13" s="21" t="n">
        <f aca="false">M13-E13*INDEX(Assumptions!$C$36:$C$37,MATCH('Manatee-Sarasota'!$P$8,Assumptions!$B$36:$B$37,0))</f>
        <v>-25444.7556926401</v>
      </c>
      <c r="O13" s="22" t="n">
        <f aca="false">IFERROR(M13/L13,0)</f>
        <v>-0.0606726642273022</v>
      </c>
      <c r="P13" s="46" t="s">
        <v>356</v>
      </c>
    </row>
    <row r="14" customFormat="false" ht="15" hidden="false" customHeight="false" outlineLevel="0" collapsed="false">
      <c r="A14" s="44" t="str">
        <f aca="false">'Manatee-Sarasota'!$B$8</f>
        <v>2801 23rd Ave W ("Beachin' Escape")</v>
      </c>
      <c r="B14" s="17" t="n">
        <v>0.25</v>
      </c>
      <c r="C14" s="45" t="n">
        <f aca="false">'Manatee-Sarasota'!$H$8</f>
        <v>600000</v>
      </c>
      <c r="D14" s="27" t="n">
        <f aca="false">'Manatee-Sarasota'!$I$8</f>
        <v>0.03</v>
      </c>
      <c r="E14" s="45" t="n">
        <f aca="false">'Manatee-Sarasota'!$K$8</f>
        <v>89000</v>
      </c>
      <c r="F14" s="21" t="n">
        <f aca="false">C14*(1-B14)</f>
        <v>450000</v>
      </c>
      <c r="G14" s="28" t="n">
        <f aca="false">IF((1-B14)&gt;0.75,Assumptions!$C$11,IF((1-B14)&gt;0.7,Assumptions!$C$12,Assumptions!$C$13))</f>
        <v>0.0725</v>
      </c>
      <c r="H14" s="21" t="n">
        <f aca="false">PMT(G14/12,Assumptions!$C$14,-F14)</f>
        <v>3069.79326025286</v>
      </c>
      <c r="I14" s="21" t="n">
        <f aca="false">H14+C14*INDEX(Assumptions!$C$28:$C$33,MATCH('Manatee-Sarasota'!$D$8,Assumptions!$B$28:$B$33,0))/12+(INDEX(Assumptions!$D$28:$D$33,MATCH('Manatee-Sarasota'!$D$8,Assumptions!$B$28:$B$33,0))+INDEX(Assumptions!$C$22:$C$25,MATCH('Manatee-Sarasota'!$M$8,Assumptions!$B$22:$B$25,0)))/12+'Manatee-Sarasota'!$O$8</f>
        <v>4569.79326025286</v>
      </c>
      <c r="J14" s="29" t="n">
        <f aca="false">IFERROR(E14/12/I14,0)</f>
        <v>1.62297641146599</v>
      </c>
      <c r="K14" s="29" t="n">
        <f aca="false">IFERROR(E14*Assumptions!$C$18/12/I14,0)</f>
        <v>1.29838112917279</v>
      </c>
      <c r="L14" s="21" t="n">
        <f aca="false">C14*B14+C14*(Assumptions!$C$16-D14)</f>
        <v>156000</v>
      </c>
      <c r="M14" s="21" t="n">
        <f aca="false">E14-(E14*INDEX(Assumptions!$H$36:$H$37,MATCH('Manatee-Sarasota'!$P$8,Assumptions!$B$36:$B$37,0))+Assumptions!$C$40+IF('Manatee-Sarasota'!$N$8="Y",Assumptions!$C$41,Assumptions!$C$42))-I14*12</f>
        <v>-4207.51912303436</v>
      </c>
      <c r="N14" s="21" t="n">
        <f aca="false">M14-E14*INDEX(Assumptions!$C$36:$C$37,MATCH('Manatee-Sarasota'!$P$8,Assumptions!$B$36:$B$37,0))</f>
        <v>-22007.5191230344</v>
      </c>
      <c r="O14" s="22" t="n">
        <f aca="false">IFERROR(M14/L14,0)</f>
        <v>-0.0269712764297075</v>
      </c>
      <c r="P14" s="22" t="n">
        <f aca="false">IFERROR((M14-M13)/(L14-L13),0)</f>
        <v>0.114574552320191</v>
      </c>
    </row>
    <row r="15" customFormat="false" ht="15" hidden="false" customHeight="false" outlineLevel="0" collapsed="false">
      <c r="A15" s="44" t="str">
        <f aca="false">'Manatee-Sarasota'!$B$8</f>
        <v>2801 23rd Ave W ("Beachin' Escape")</v>
      </c>
      <c r="B15" s="17" t="n">
        <v>0.3</v>
      </c>
      <c r="C15" s="45" t="n">
        <f aca="false">'Manatee-Sarasota'!$H$8</f>
        <v>600000</v>
      </c>
      <c r="D15" s="27" t="n">
        <f aca="false">'Manatee-Sarasota'!$I$8</f>
        <v>0.03</v>
      </c>
      <c r="E15" s="45" t="n">
        <f aca="false">'Manatee-Sarasota'!$K$8</f>
        <v>89000</v>
      </c>
      <c r="F15" s="21" t="n">
        <f aca="false">C15*(1-B15)</f>
        <v>420000</v>
      </c>
      <c r="G15" s="28" t="n">
        <f aca="false">IF((1-B15)&gt;0.75,Assumptions!$C$11,IF((1-B15)&gt;0.7,Assumptions!$C$12,Assumptions!$C$13))</f>
        <v>0.07125</v>
      </c>
      <c r="H15" s="21" t="n">
        <f aca="false">PMT(G15/12,Assumptions!$C$14,-F15)</f>
        <v>2829.61779786476</v>
      </c>
      <c r="I15" s="21" t="n">
        <f aca="false">H15+C15*INDEX(Assumptions!$C$28:$C$33,MATCH('Manatee-Sarasota'!$D$8,Assumptions!$B$28:$B$33,0))/12+(INDEX(Assumptions!$D$28:$D$33,MATCH('Manatee-Sarasota'!$D$8,Assumptions!$B$28:$B$33,0))+INDEX(Assumptions!$C$22:$C$25,MATCH('Manatee-Sarasota'!$M$8,Assumptions!$B$22:$B$25,0)))/12+'Manatee-Sarasota'!$O$8</f>
        <v>4329.61779786476</v>
      </c>
      <c r="J15" s="29" t="n">
        <f aca="false">IFERROR(E15/12/I15,0)</f>
        <v>1.71300724750447</v>
      </c>
      <c r="K15" s="29" t="n">
        <f aca="false">IFERROR(E15*Assumptions!$C$18/12/I15,0)</f>
        <v>1.37040579800357</v>
      </c>
      <c r="L15" s="21" t="n">
        <f aca="false">C15*B15+C15*(Assumptions!$C$16-D15)</f>
        <v>186000</v>
      </c>
      <c r="M15" s="21" t="n">
        <f aca="false">E15-(E15*INDEX(Assumptions!$H$36:$H$37,MATCH('Manatee-Sarasota'!$P$8,Assumptions!$B$36:$B$37,0))+Assumptions!$C$40+IF('Manatee-Sarasota'!$N$8="Y",Assumptions!$C$41,Assumptions!$C$42))-I15*12</f>
        <v>-1325.41357437715</v>
      </c>
      <c r="N15" s="21" t="n">
        <f aca="false">M15-E15*INDEX(Assumptions!$C$36:$C$37,MATCH('Manatee-Sarasota'!$P$8,Assumptions!$B$36:$B$37,0))</f>
        <v>-19125.4135743771</v>
      </c>
      <c r="O15" s="22" t="n">
        <f aca="false">IFERROR(M15/L15,0)</f>
        <v>-0.0071258794321352</v>
      </c>
      <c r="P15" s="22" t="n">
        <f aca="false">IFERROR((M15-M14)/(L15-L14),0)</f>
        <v>0.0960701849552405</v>
      </c>
    </row>
    <row r="17" customFormat="false" ht="15" hidden="false" customHeight="false" outlineLevel="0" collapsed="false">
      <c r="A17" s="44" t="str">
        <f aca="false">Pinellas!$B$6</f>
        <v>12565 81st Ave</v>
      </c>
      <c r="B17" s="17" t="n">
        <v>0.2</v>
      </c>
      <c r="C17" s="45" t="n">
        <f aca="false">Pinellas!$H$6</f>
        <v>485000</v>
      </c>
      <c r="D17" s="27" t="n">
        <f aca="false">Pinellas!$I$6</f>
        <v>0</v>
      </c>
      <c r="E17" s="45" t="n">
        <f aca="false">Pinellas!$K$6</f>
        <v>71000</v>
      </c>
      <c r="F17" s="21" t="n">
        <f aca="false">C17*(1-B17)</f>
        <v>388000</v>
      </c>
      <c r="G17" s="28" t="n">
        <f aca="false">IF((1-B17)&gt;0.75,Assumptions!$C$11,IF((1-B17)&gt;0.7,Assumptions!$C$12,Assumptions!$C$13))</f>
        <v>0.075</v>
      </c>
      <c r="H17" s="21" t="n">
        <f aca="false">PMT(G17/12,Assumptions!$C$14,-F17)</f>
        <v>2712.95229318478</v>
      </c>
      <c r="I17" s="21" t="n">
        <f aca="false">H17+C17*INDEX(Assumptions!$C$28:$C$33,MATCH(Pinellas!$D$6,Assumptions!$B$28:$B$33,0))/12+(INDEX(Assumptions!$D$28:$D$33,MATCH(Pinellas!$D$6,Assumptions!$B$28:$B$33,0))+INDEX(Assumptions!$C$22:$C$25,MATCH(Pinellas!$M$6,Assumptions!$B$22:$B$25,0)))/12+Pinellas!$O$6</f>
        <v>4109.61895985145</v>
      </c>
      <c r="J17" s="29" t="n">
        <f aca="false">IFERROR(E17/12/I17,0)</f>
        <v>1.43971174078887</v>
      </c>
      <c r="K17" s="29" t="n">
        <f aca="false">IFERROR(E17*Assumptions!$C$18/12/I17,0)</f>
        <v>1.15176939263109</v>
      </c>
      <c r="L17" s="21" t="n">
        <f aca="false">C17*B17+C17*(Assumptions!$C$16-D17)</f>
        <v>116400</v>
      </c>
      <c r="M17" s="21" t="n">
        <f aca="false">E17-(E17*INDEX(Assumptions!$H$36:$H$37,MATCH(Pinellas!$P$6,Assumptions!$B$36:$B$37,0))+Assumptions!$C$40+IF(Pinellas!$N$6="Y",Assumptions!$C$41,Assumptions!$C$42))-I17*12</f>
        <v>-10745.4275182174</v>
      </c>
      <c r="N17" s="21" t="n">
        <f aca="false">M17-E17*INDEX(Assumptions!$C$36:$C$37,MATCH(Pinellas!$P$6,Assumptions!$B$36:$B$37,0))</f>
        <v>-24945.4275182174</v>
      </c>
      <c r="O17" s="22" t="n">
        <f aca="false">IFERROR(M17/L17,0)</f>
        <v>-0.0923146694004932</v>
      </c>
      <c r="P17" s="46" t="s">
        <v>356</v>
      </c>
    </row>
    <row r="18" customFormat="false" ht="15" hidden="false" customHeight="false" outlineLevel="0" collapsed="false">
      <c r="A18" s="44" t="str">
        <f aca="false">Pinellas!$B$6</f>
        <v>12565 81st Ave</v>
      </c>
      <c r="B18" s="17" t="n">
        <v>0.25</v>
      </c>
      <c r="C18" s="45" t="n">
        <f aca="false">Pinellas!$H$6</f>
        <v>485000</v>
      </c>
      <c r="D18" s="27" t="n">
        <f aca="false">Pinellas!$I$6</f>
        <v>0</v>
      </c>
      <c r="E18" s="45" t="n">
        <f aca="false">Pinellas!$K$6</f>
        <v>71000</v>
      </c>
      <c r="F18" s="21" t="n">
        <f aca="false">C18*(1-B18)</f>
        <v>363750</v>
      </c>
      <c r="G18" s="28" t="n">
        <f aca="false">IF((1-B18)&gt;0.75,Assumptions!$C$11,IF((1-B18)&gt;0.7,Assumptions!$C$12,Assumptions!$C$13))</f>
        <v>0.0725</v>
      </c>
      <c r="H18" s="21" t="n">
        <f aca="false">PMT(G18/12,Assumptions!$C$14,-F18)</f>
        <v>2481.4162187044</v>
      </c>
      <c r="I18" s="21" t="n">
        <f aca="false">H18+C18*INDEX(Assumptions!$C$28:$C$33,MATCH(Pinellas!$D$6,Assumptions!$B$28:$B$33,0))/12+(INDEX(Assumptions!$D$28:$D$33,MATCH(Pinellas!$D$6,Assumptions!$B$28:$B$33,0))+INDEX(Assumptions!$C$22:$C$25,MATCH(Pinellas!$M$6,Assumptions!$B$22:$B$25,0)))/12+Pinellas!$O$6</f>
        <v>3878.08288537106</v>
      </c>
      <c r="J18" s="29" t="n">
        <f aca="false">IFERROR(E18/12/I18,0)</f>
        <v>1.52566792447515</v>
      </c>
      <c r="K18" s="29" t="n">
        <f aca="false">IFERROR(E18*Assumptions!$C$18/12/I18,0)</f>
        <v>1.22053433958012</v>
      </c>
      <c r="L18" s="21" t="n">
        <f aca="false">C18*B18+C18*(Assumptions!$C$16-D18)</f>
        <v>140650</v>
      </c>
      <c r="M18" s="21" t="n">
        <f aca="false">E18-(E18*INDEX(Assumptions!$H$36:$H$37,MATCH(Pinellas!$P$6,Assumptions!$B$36:$B$37,0))+Assumptions!$C$40+IF(Pinellas!$N$6="Y",Assumptions!$C$41,Assumptions!$C$42))-I18*12</f>
        <v>-7966.99462445278</v>
      </c>
      <c r="N18" s="21" t="n">
        <f aca="false">M18-E18*INDEX(Assumptions!$C$36:$C$37,MATCH(Pinellas!$P$6,Assumptions!$B$36:$B$37,0))</f>
        <v>-22166.9946244528</v>
      </c>
      <c r="O18" s="22" t="n">
        <f aca="false">IFERROR(M18/L18,0)</f>
        <v>-0.0566441139314097</v>
      </c>
      <c r="P18" s="22" t="n">
        <f aca="false">IFERROR((M18-M17)/(L18-L17),0)</f>
        <v>0.114574552320191</v>
      </c>
    </row>
    <row r="19" customFormat="false" ht="15" hidden="false" customHeight="false" outlineLevel="0" collapsed="false">
      <c r="A19" s="44" t="str">
        <f aca="false">Pinellas!$B$6</f>
        <v>12565 81st Ave</v>
      </c>
      <c r="B19" s="17" t="n">
        <v>0.3</v>
      </c>
      <c r="C19" s="45" t="n">
        <f aca="false">Pinellas!$H$6</f>
        <v>485000</v>
      </c>
      <c r="D19" s="27" t="n">
        <f aca="false">Pinellas!$I$6</f>
        <v>0</v>
      </c>
      <c r="E19" s="45" t="n">
        <f aca="false">Pinellas!$K$6</f>
        <v>71000</v>
      </c>
      <c r="F19" s="21" t="n">
        <f aca="false">C19*(1-B19)</f>
        <v>339500</v>
      </c>
      <c r="G19" s="28" t="n">
        <f aca="false">IF((1-B19)&gt;0.75,Assumptions!$C$11,IF((1-B19)&gt;0.7,Assumptions!$C$12,Assumptions!$C$13))</f>
        <v>0.07125</v>
      </c>
      <c r="H19" s="21" t="n">
        <f aca="false">PMT(G19/12,Assumptions!$C$14,-F19)</f>
        <v>2287.27438660735</v>
      </c>
      <c r="I19" s="21" t="n">
        <f aca="false">H19+C19*INDEX(Assumptions!$C$28:$C$33,MATCH(Pinellas!$D$6,Assumptions!$B$28:$B$33,0))/12+(INDEX(Assumptions!$D$28:$D$33,MATCH(Pinellas!$D$6,Assumptions!$B$28:$B$33,0))+INDEX(Assumptions!$C$22:$C$25,MATCH(Pinellas!$M$6,Assumptions!$B$22:$B$25,0)))/12+Pinellas!$O$6</f>
        <v>3683.94105327402</v>
      </c>
      <c r="J19" s="29" t="n">
        <f aca="false">IFERROR(E19/12/I19,0)</f>
        <v>1.60606985321016</v>
      </c>
      <c r="K19" s="29" t="n">
        <f aca="false">IFERROR(E19*Assumptions!$C$18/12/I19,0)</f>
        <v>1.28485588256812</v>
      </c>
      <c r="L19" s="21" t="n">
        <f aca="false">C19*B19+C19*(Assumptions!$C$16-D19)</f>
        <v>164900</v>
      </c>
      <c r="M19" s="21" t="n">
        <f aca="false">E19-(E19*INDEX(Assumptions!$H$36:$H$37,MATCH(Pinellas!$P$6,Assumptions!$B$36:$B$37,0))+Assumptions!$C$40+IF(Pinellas!$N$6="Y",Assumptions!$C$41,Assumptions!$C$42))-I19*12</f>
        <v>-5637.29263928819</v>
      </c>
      <c r="N19" s="21" t="n">
        <f aca="false">M19-E19*INDEX(Assumptions!$C$36:$C$37,MATCH(Pinellas!$P$6,Assumptions!$B$36:$B$37,0))</f>
        <v>-19837.2926392882</v>
      </c>
      <c r="O19" s="22" t="n">
        <f aca="false">IFERROR(M19/L19,0)</f>
        <v>-0.03418612880102</v>
      </c>
      <c r="P19" s="22" t="n">
        <f aca="false">IFERROR((M19-M18)/(L19-L18),0)</f>
        <v>0.0960701849552405</v>
      </c>
    </row>
    <row r="21" customFormat="false" ht="15" hidden="false" customHeight="false" outlineLevel="0" collapsed="false">
      <c r="A21" s="44" t="str">
        <f aca="false">Pinellas!$B$7</f>
        <v>4000 46th St N</v>
      </c>
      <c r="B21" s="17" t="n">
        <v>0.2</v>
      </c>
      <c r="C21" s="45" t="n">
        <f aca="false">Pinellas!$H$7</f>
        <v>485000</v>
      </c>
      <c r="D21" s="27" t="n">
        <f aca="false">Pinellas!$I$7</f>
        <v>0</v>
      </c>
      <c r="E21" s="45" t="n">
        <f aca="false">Pinellas!$K$7</f>
        <v>85000</v>
      </c>
      <c r="F21" s="21" t="n">
        <f aca="false">C21*(1-B21)</f>
        <v>388000</v>
      </c>
      <c r="G21" s="28" t="n">
        <f aca="false">IF((1-B21)&gt;0.75,Assumptions!$C$11,IF((1-B21)&gt;0.7,Assumptions!$C$12,Assumptions!$C$13))</f>
        <v>0.075</v>
      </c>
      <c r="H21" s="21" t="n">
        <f aca="false">PMT(G21/12,Assumptions!$C$14,-F21)</f>
        <v>2712.95229318478</v>
      </c>
      <c r="I21" s="21" t="n">
        <f aca="false">H21+C21*INDEX(Assumptions!$C$28:$C$33,MATCH(Pinellas!$D$7,Assumptions!$B$28:$B$33,0))/12+(INDEX(Assumptions!$D$28:$D$33,MATCH(Pinellas!$D$7,Assumptions!$B$28:$B$33,0))+INDEX(Assumptions!$C$22:$C$25,MATCH(Pinellas!$M$7,Assumptions!$B$22:$B$25,0)))/12+Pinellas!$O$7</f>
        <v>4109.61895985145</v>
      </c>
      <c r="J21" s="29" t="n">
        <f aca="false">IFERROR(E21/12/I21,0)</f>
        <v>1.72359856291625</v>
      </c>
      <c r="K21" s="29" t="n">
        <f aca="false">IFERROR(E21*Assumptions!$C$18/12/I21,0)</f>
        <v>1.378878850333</v>
      </c>
      <c r="L21" s="21" t="n">
        <f aca="false">C21*B21+C21*(Assumptions!$C$16-D21)</f>
        <v>116400</v>
      </c>
      <c r="M21" s="21" t="n">
        <f aca="false">E21-(E21*INDEX(Assumptions!$H$36:$H$37,MATCH(Pinellas!$P$7,Assumptions!$B$36:$B$37,0))+Assumptions!$C$40+IF(Pinellas!$N$7="Y",Assumptions!$C$41,Assumptions!$C$42))-I21*12</f>
        <v>-1365.4275182174</v>
      </c>
      <c r="N21" s="21" t="n">
        <f aca="false">M21-E21*INDEX(Assumptions!$C$36:$C$37,MATCH(Pinellas!$P$7,Assumptions!$B$36:$B$37,0))</f>
        <v>-18365.4275182174</v>
      </c>
      <c r="O21" s="22" t="n">
        <f aca="false">IFERROR(M21/L21,0)</f>
        <v>-0.0117304769606306</v>
      </c>
      <c r="P21" s="46" t="s">
        <v>356</v>
      </c>
    </row>
    <row r="22" customFormat="false" ht="15" hidden="false" customHeight="false" outlineLevel="0" collapsed="false">
      <c r="A22" s="44" t="str">
        <f aca="false">Pinellas!$B$7</f>
        <v>4000 46th St N</v>
      </c>
      <c r="B22" s="17" t="n">
        <v>0.25</v>
      </c>
      <c r="C22" s="45" t="n">
        <f aca="false">Pinellas!$H$7</f>
        <v>485000</v>
      </c>
      <c r="D22" s="27" t="n">
        <f aca="false">Pinellas!$I$7</f>
        <v>0</v>
      </c>
      <c r="E22" s="45" t="n">
        <f aca="false">Pinellas!$K$7</f>
        <v>85000</v>
      </c>
      <c r="F22" s="21" t="n">
        <f aca="false">C22*(1-B22)</f>
        <v>363750</v>
      </c>
      <c r="G22" s="28" t="n">
        <f aca="false">IF((1-B22)&gt;0.75,Assumptions!$C$11,IF((1-B22)&gt;0.7,Assumptions!$C$12,Assumptions!$C$13))</f>
        <v>0.0725</v>
      </c>
      <c r="H22" s="21" t="n">
        <f aca="false">PMT(G22/12,Assumptions!$C$14,-F22)</f>
        <v>2481.4162187044</v>
      </c>
      <c r="I22" s="21" t="n">
        <f aca="false">H22+C22*INDEX(Assumptions!$C$28:$C$33,MATCH(Pinellas!$D$7,Assumptions!$B$28:$B$33,0))/12+(INDEX(Assumptions!$D$28:$D$33,MATCH(Pinellas!$D$7,Assumptions!$B$28:$B$33,0))+INDEX(Assumptions!$C$22:$C$25,MATCH(Pinellas!$M$7,Assumptions!$B$22:$B$25,0)))/12+Pinellas!$O$7</f>
        <v>3878.08288537106</v>
      </c>
      <c r="J22" s="29" t="n">
        <f aca="false">IFERROR(E22/12/I22,0)</f>
        <v>1.8265038532449</v>
      </c>
      <c r="K22" s="29" t="n">
        <f aca="false">IFERROR(E22*Assumptions!$C$18/12/I22,0)</f>
        <v>1.46120308259592</v>
      </c>
      <c r="L22" s="21" t="n">
        <f aca="false">C22*B22+C22*(Assumptions!$C$16-D22)</f>
        <v>140650</v>
      </c>
      <c r="M22" s="21" t="n">
        <f aca="false">E22-(E22*INDEX(Assumptions!$H$36:$H$37,MATCH(Pinellas!$P$7,Assumptions!$B$36:$B$37,0))+Assumptions!$C$40+IF(Pinellas!$N$7="Y",Assumptions!$C$41,Assumptions!$C$42))-I22*12</f>
        <v>1413.00537554723</v>
      </c>
      <c r="N22" s="21" t="n">
        <f aca="false">M22-E22*INDEX(Assumptions!$C$36:$C$37,MATCH(Pinellas!$P$7,Assumptions!$B$36:$B$37,0))</f>
        <v>-15586.9946244528</v>
      </c>
      <c r="O22" s="22" t="n">
        <f aca="false">IFERROR(M22/L22,0)</f>
        <v>0.0100462522257179</v>
      </c>
      <c r="P22" s="22" t="n">
        <f aca="false">IFERROR((M22-M21)/(L22-L21),0)</f>
        <v>0.114574552320191</v>
      </c>
    </row>
    <row r="23" customFormat="false" ht="15" hidden="false" customHeight="false" outlineLevel="0" collapsed="false">
      <c r="A23" s="44" t="str">
        <f aca="false">Pinellas!$B$7</f>
        <v>4000 46th St N</v>
      </c>
      <c r="B23" s="17" t="n">
        <v>0.3</v>
      </c>
      <c r="C23" s="45" t="n">
        <f aca="false">Pinellas!$H$7</f>
        <v>485000</v>
      </c>
      <c r="D23" s="27" t="n">
        <f aca="false">Pinellas!$I$7</f>
        <v>0</v>
      </c>
      <c r="E23" s="45" t="n">
        <f aca="false">Pinellas!$K$7</f>
        <v>85000</v>
      </c>
      <c r="F23" s="21" t="n">
        <f aca="false">C23*(1-B23)</f>
        <v>339500</v>
      </c>
      <c r="G23" s="28" t="n">
        <f aca="false">IF((1-B23)&gt;0.75,Assumptions!$C$11,IF((1-B23)&gt;0.7,Assumptions!$C$12,Assumptions!$C$13))</f>
        <v>0.07125</v>
      </c>
      <c r="H23" s="21" t="n">
        <f aca="false">PMT(G23/12,Assumptions!$C$14,-F23)</f>
        <v>2287.27438660735</v>
      </c>
      <c r="I23" s="21" t="n">
        <f aca="false">H23+C23*INDEX(Assumptions!$C$28:$C$33,MATCH(Pinellas!$D$7,Assumptions!$B$28:$B$33,0))/12+(INDEX(Assumptions!$D$28:$D$33,MATCH(Pinellas!$D$7,Assumptions!$B$28:$B$33,0))+INDEX(Assumptions!$C$22:$C$25,MATCH(Pinellas!$M$7,Assumptions!$B$22:$B$25,0)))/12+Pinellas!$O$7</f>
        <v>3683.94105327402</v>
      </c>
      <c r="J23" s="29" t="n">
        <f aca="false">IFERROR(E23/12/I23,0)</f>
        <v>1.92275968342061</v>
      </c>
      <c r="K23" s="29" t="n">
        <f aca="false">IFERROR(E23*Assumptions!$C$18/12/I23,0)</f>
        <v>1.53820774673649</v>
      </c>
      <c r="L23" s="21" t="n">
        <f aca="false">C23*B23+C23*(Assumptions!$C$16-D23)</f>
        <v>164900</v>
      </c>
      <c r="M23" s="21" t="n">
        <f aca="false">E23-(E23*INDEX(Assumptions!$H$36:$H$37,MATCH(Pinellas!$P$7,Assumptions!$B$36:$B$37,0))+Assumptions!$C$40+IF(Pinellas!$N$7="Y",Assumptions!$C$41,Assumptions!$C$42))-I23*12</f>
        <v>3742.70736071181</v>
      </c>
      <c r="N23" s="21" t="n">
        <f aca="false">M23-E23*INDEX(Assumptions!$C$36:$C$37,MATCH(Pinellas!$P$7,Assumptions!$B$36:$B$37,0))</f>
        <v>-13257.2926392882</v>
      </c>
      <c r="O23" s="22" t="n">
        <f aca="false">IFERROR(M23/L23,0)</f>
        <v>0.0226968305682948</v>
      </c>
      <c r="P23" s="22" t="n">
        <f aca="false">IFERROR((M23-M22)/(L23-L22),0)</f>
        <v>0.0960701849552405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38"/>
    <col collapsed="false" customWidth="true" hidden="false" outlineLevel="0" max="9" min="9" style="0" width="40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357</v>
      </c>
    </row>
    <row r="2" customFormat="false" ht="15" hidden="false" customHeight="false" outlineLevel="0" collapsed="false">
      <c r="A2" s="2" t="s">
        <v>358</v>
      </c>
    </row>
    <row r="4" customFormat="false" ht="31.5" hidden="false" customHeight="true" outlineLevel="0" collapsed="false">
      <c r="A4" s="3" t="s">
        <v>105</v>
      </c>
      <c r="B4" s="3" t="s">
        <v>359</v>
      </c>
      <c r="C4" s="3" t="s">
        <v>360</v>
      </c>
      <c r="D4" s="3" t="s">
        <v>361</v>
      </c>
      <c r="E4" s="3" t="s">
        <v>362</v>
      </c>
      <c r="F4" s="3" t="s">
        <v>363</v>
      </c>
      <c r="G4" s="3" t="s">
        <v>364</v>
      </c>
      <c r="H4" s="3" t="s">
        <v>365</v>
      </c>
      <c r="I4" s="3" t="s">
        <v>366</v>
      </c>
      <c r="J4" s="3" t="s">
        <v>13</v>
      </c>
    </row>
    <row r="5" customFormat="false" ht="35.05" hidden="false" customHeight="false" outlineLevel="0" collapsed="false">
      <c r="A5" s="25" t="n">
        <v>1</v>
      </c>
      <c r="B5" s="9" t="s">
        <v>367</v>
      </c>
      <c r="C5" s="9" t="s">
        <v>368</v>
      </c>
      <c r="D5" s="9" t="s">
        <v>369</v>
      </c>
      <c r="E5" s="9" t="s">
        <v>370</v>
      </c>
      <c r="F5" s="9" t="s">
        <v>371</v>
      </c>
      <c r="G5" s="9" t="s">
        <v>372</v>
      </c>
      <c r="H5" s="9" t="s">
        <v>373</v>
      </c>
      <c r="I5" s="9" t="s">
        <v>374</v>
      </c>
      <c r="J5" s="9" t="s">
        <v>375</v>
      </c>
    </row>
    <row r="6" customFormat="false" ht="35.05" hidden="false" customHeight="false" outlineLevel="0" collapsed="false">
      <c r="A6" s="34" t="n">
        <v>2</v>
      </c>
      <c r="B6" s="47" t="s">
        <v>376</v>
      </c>
      <c r="C6" s="47" t="s">
        <v>377</v>
      </c>
      <c r="D6" s="47" t="s">
        <v>378</v>
      </c>
      <c r="E6" s="47" t="s">
        <v>379</v>
      </c>
      <c r="F6" s="47" t="s">
        <v>371</v>
      </c>
      <c r="G6" s="47" t="s">
        <v>380</v>
      </c>
      <c r="H6" s="47" t="s">
        <v>381</v>
      </c>
      <c r="I6" s="47" t="s">
        <v>382</v>
      </c>
      <c r="J6" s="47" t="s">
        <v>383</v>
      </c>
    </row>
    <row r="7" customFormat="false" ht="35.05" hidden="false" customHeight="false" outlineLevel="0" collapsed="false">
      <c r="A7" s="9" t="s">
        <v>384</v>
      </c>
      <c r="B7" s="9" t="s">
        <v>385</v>
      </c>
      <c r="C7" s="9" t="s">
        <v>386</v>
      </c>
      <c r="D7" s="9" t="s">
        <v>387</v>
      </c>
      <c r="E7" s="9" t="s">
        <v>388</v>
      </c>
      <c r="F7" s="9" t="s">
        <v>389</v>
      </c>
      <c r="G7" s="9" t="s">
        <v>390</v>
      </c>
      <c r="H7" s="9" t="s">
        <v>391</v>
      </c>
      <c r="I7" s="9" t="s">
        <v>392</v>
      </c>
      <c r="J7" s="9" t="s">
        <v>393</v>
      </c>
    </row>
    <row r="8" customFormat="false" ht="46.25" hidden="false" customHeight="false" outlineLevel="0" collapsed="false">
      <c r="A8" s="47" t="s">
        <v>394</v>
      </c>
      <c r="B8" s="47" t="s">
        <v>395</v>
      </c>
      <c r="C8" s="47" t="s">
        <v>356</v>
      </c>
      <c r="D8" s="47" t="s">
        <v>356</v>
      </c>
      <c r="E8" s="47" t="s">
        <v>356</v>
      </c>
      <c r="F8" s="47" t="s">
        <v>356</v>
      </c>
      <c r="G8" s="47" t="s">
        <v>396</v>
      </c>
      <c r="H8" s="47" t="s">
        <v>356</v>
      </c>
      <c r="I8" s="47" t="s">
        <v>397</v>
      </c>
      <c r="J8" s="47" t="s">
        <v>398</v>
      </c>
    </row>
    <row r="9" customFormat="false" ht="35.05" hidden="false" customHeight="false" outlineLevel="0" collapsed="false">
      <c r="A9" s="25" t="n">
        <v>3</v>
      </c>
      <c r="B9" s="9" t="s">
        <v>399</v>
      </c>
      <c r="C9" s="9" t="s">
        <v>400</v>
      </c>
      <c r="D9" s="9" t="s">
        <v>401</v>
      </c>
      <c r="E9" s="9" t="s">
        <v>402</v>
      </c>
      <c r="F9" s="9" t="s">
        <v>403</v>
      </c>
      <c r="G9" s="9" t="s">
        <v>404</v>
      </c>
      <c r="H9" s="9" t="s">
        <v>405</v>
      </c>
      <c r="I9" s="9" t="s">
        <v>406</v>
      </c>
      <c r="J9" s="9" t="s">
        <v>407</v>
      </c>
    </row>
    <row r="10" customFormat="false" ht="35.05" hidden="false" customHeight="false" outlineLevel="0" collapsed="false">
      <c r="A10" s="47" t="s">
        <v>408</v>
      </c>
      <c r="B10" s="47" t="s">
        <v>409</v>
      </c>
      <c r="C10" s="47" t="s">
        <v>410</v>
      </c>
      <c r="D10" s="47" t="s">
        <v>411</v>
      </c>
      <c r="E10" s="47" t="s">
        <v>412</v>
      </c>
      <c r="F10" s="47" t="s">
        <v>413</v>
      </c>
      <c r="G10" s="47" t="s">
        <v>414</v>
      </c>
      <c r="H10" s="47" t="s">
        <v>415</v>
      </c>
      <c r="I10" s="47" t="s">
        <v>416</v>
      </c>
      <c r="J10" s="47" t="s">
        <v>417</v>
      </c>
    </row>
    <row r="11" customFormat="false" ht="35.05" hidden="false" customHeight="false" outlineLevel="0" collapsed="false">
      <c r="A11" s="25" t="n">
        <v>4</v>
      </c>
      <c r="B11" s="9" t="s">
        <v>418</v>
      </c>
      <c r="C11" s="9" t="s">
        <v>419</v>
      </c>
      <c r="D11" s="9" t="s">
        <v>420</v>
      </c>
      <c r="E11" s="9" t="s">
        <v>421</v>
      </c>
      <c r="F11" s="9" t="s">
        <v>422</v>
      </c>
      <c r="G11" s="9" t="s">
        <v>423</v>
      </c>
      <c r="H11" s="9" t="s">
        <v>424</v>
      </c>
      <c r="I11" s="9" t="s">
        <v>425</v>
      </c>
      <c r="J11" s="9" t="s">
        <v>426</v>
      </c>
    </row>
    <row r="12" customFormat="false" ht="23.85" hidden="false" customHeight="false" outlineLevel="0" collapsed="false">
      <c r="A12" s="34" t="n">
        <v>5</v>
      </c>
      <c r="B12" s="47" t="s">
        <v>427</v>
      </c>
      <c r="C12" s="47" t="s">
        <v>428</v>
      </c>
      <c r="D12" s="47" t="s">
        <v>429</v>
      </c>
      <c r="E12" s="47" t="s">
        <v>430</v>
      </c>
      <c r="F12" s="47" t="s">
        <v>431</v>
      </c>
      <c r="G12" s="47" t="s">
        <v>432</v>
      </c>
      <c r="H12" s="47" t="s">
        <v>433</v>
      </c>
      <c r="I12" s="47" t="s">
        <v>434</v>
      </c>
      <c r="J12" s="47" t="s">
        <v>435</v>
      </c>
    </row>
    <row r="13" customFormat="false" ht="23.85" hidden="false" customHeight="false" outlineLevel="0" collapsed="false">
      <c r="A13" s="25" t="n">
        <v>6</v>
      </c>
      <c r="B13" s="9" t="s">
        <v>436</v>
      </c>
      <c r="C13" s="9" t="s">
        <v>437</v>
      </c>
      <c r="D13" s="9" t="s">
        <v>438</v>
      </c>
      <c r="E13" s="9" t="s">
        <v>439</v>
      </c>
      <c r="F13" s="9" t="s">
        <v>440</v>
      </c>
      <c r="G13" s="9" t="s">
        <v>441</v>
      </c>
      <c r="H13" s="9" t="s">
        <v>442</v>
      </c>
      <c r="I13" s="9" t="s">
        <v>443</v>
      </c>
      <c r="J13" s="9" t="s">
        <v>444</v>
      </c>
    </row>
    <row r="14" customFormat="false" ht="15" hidden="false" customHeight="false" outlineLevel="0" collapsed="false">
      <c r="A14" s="34" t="n">
        <v>7</v>
      </c>
      <c r="B14" s="47" t="s">
        <v>445</v>
      </c>
      <c r="C14" s="47" t="s">
        <v>419</v>
      </c>
      <c r="D14" s="47" t="s">
        <v>446</v>
      </c>
      <c r="E14" s="47" t="s">
        <v>447</v>
      </c>
      <c r="F14" s="47" t="s">
        <v>448</v>
      </c>
      <c r="G14" s="47" t="s">
        <v>449</v>
      </c>
      <c r="H14" s="47" t="s">
        <v>356</v>
      </c>
      <c r="I14" s="47" t="s">
        <v>450</v>
      </c>
      <c r="J14" s="47" t="s">
        <v>451</v>
      </c>
    </row>
    <row r="15" customFormat="false" ht="35.05" hidden="false" customHeight="false" outlineLevel="0" collapsed="false">
      <c r="A15" s="25" t="n">
        <v>8</v>
      </c>
      <c r="B15" s="9" t="s">
        <v>452</v>
      </c>
      <c r="C15" s="9" t="s">
        <v>453</v>
      </c>
      <c r="D15" s="9" t="s">
        <v>454</v>
      </c>
      <c r="E15" s="9" t="s">
        <v>455</v>
      </c>
      <c r="F15" s="9" t="s">
        <v>456</v>
      </c>
      <c r="G15" s="9" t="s">
        <v>457</v>
      </c>
      <c r="H15" s="9" t="s">
        <v>458</v>
      </c>
      <c r="I15" s="9" t="s">
        <v>459</v>
      </c>
      <c r="J15" s="9" t="s">
        <v>451</v>
      </c>
    </row>
    <row r="16" customFormat="false" ht="23.85" hidden="false" customHeight="false" outlineLevel="0" collapsed="false">
      <c r="A16" s="34" t="n">
        <v>9</v>
      </c>
      <c r="B16" s="47" t="s">
        <v>460</v>
      </c>
      <c r="C16" s="47" t="s">
        <v>461</v>
      </c>
      <c r="D16" s="47" t="s">
        <v>462</v>
      </c>
      <c r="E16" s="47" t="s">
        <v>463</v>
      </c>
      <c r="F16" s="47" t="s">
        <v>464</v>
      </c>
      <c r="G16" s="47" t="s">
        <v>465</v>
      </c>
      <c r="H16" s="47" t="s">
        <v>356</v>
      </c>
      <c r="I16" s="47" t="s">
        <v>466</v>
      </c>
      <c r="J16" s="47" t="s">
        <v>467</v>
      </c>
    </row>
    <row r="17" customFormat="false" ht="23.85" hidden="false" customHeight="false" outlineLevel="0" collapsed="false">
      <c r="A17" s="25" t="n">
        <v>10</v>
      </c>
      <c r="B17" s="9" t="s">
        <v>468</v>
      </c>
      <c r="C17" s="9" t="s">
        <v>469</v>
      </c>
      <c r="D17" s="9" t="s">
        <v>438</v>
      </c>
      <c r="E17" s="9" t="s">
        <v>470</v>
      </c>
      <c r="F17" s="9" t="s">
        <v>471</v>
      </c>
      <c r="G17" s="9" t="s">
        <v>472</v>
      </c>
      <c r="H17" s="9" t="s">
        <v>356</v>
      </c>
      <c r="I17" s="9" t="s">
        <v>473</v>
      </c>
      <c r="J17" s="9" t="s">
        <v>467</v>
      </c>
    </row>
    <row r="18" customFormat="false" ht="23.85" hidden="false" customHeight="false" outlineLevel="0" collapsed="false">
      <c r="A18" s="34" t="n">
        <v>11</v>
      </c>
      <c r="B18" s="47" t="s">
        <v>474</v>
      </c>
      <c r="C18" s="47" t="s">
        <v>475</v>
      </c>
      <c r="D18" s="47" t="s">
        <v>454</v>
      </c>
      <c r="E18" s="47" t="s">
        <v>476</v>
      </c>
      <c r="F18" s="47" t="s">
        <v>477</v>
      </c>
      <c r="G18" s="47" t="s">
        <v>478</v>
      </c>
      <c r="H18" s="47" t="s">
        <v>356</v>
      </c>
      <c r="I18" s="47" t="s">
        <v>479</v>
      </c>
      <c r="J18" s="47" t="s">
        <v>467</v>
      </c>
    </row>
    <row r="19" customFormat="false" ht="23.85" hidden="false" customHeight="false" outlineLevel="0" collapsed="false">
      <c r="A19" s="25" t="n">
        <v>12</v>
      </c>
      <c r="B19" s="9" t="s">
        <v>480</v>
      </c>
      <c r="C19" s="9" t="s">
        <v>481</v>
      </c>
      <c r="D19" s="9" t="s">
        <v>482</v>
      </c>
      <c r="E19" s="9" t="s">
        <v>483</v>
      </c>
      <c r="F19" s="9" t="s">
        <v>484</v>
      </c>
      <c r="G19" s="9" t="s">
        <v>485</v>
      </c>
      <c r="H19" s="9" t="s">
        <v>356</v>
      </c>
      <c r="I19" s="9" t="s">
        <v>486</v>
      </c>
      <c r="J19" s="9" t="s">
        <v>467</v>
      </c>
    </row>
    <row r="20" customFormat="false" ht="23.85" hidden="false" customHeight="false" outlineLevel="0" collapsed="false">
      <c r="A20" s="34" t="n">
        <v>13</v>
      </c>
      <c r="B20" s="47" t="s">
        <v>487</v>
      </c>
      <c r="C20" s="47" t="s">
        <v>488</v>
      </c>
      <c r="D20" s="47" t="s">
        <v>489</v>
      </c>
      <c r="E20" s="47" t="s">
        <v>490</v>
      </c>
      <c r="F20" s="47" t="s">
        <v>491</v>
      </c>
      <c r="G20" s="47" t="s">
        <v>492</v>
      </c>
      <c r="H20" s="47" t="s">
        <v>356</v>
      </c>
      <c r="I20" s="47" t="s">
        <v>493</v>
      </c>
      <c r="J20" s="47" t="s">
        <v>467</v>
      </c>
    </row>
    <row r="21" customFormat="false" ht="23.85" hidden="false" customHeight="false" outlineLevel="0" collapsed="false">
      <c r="A21" s="9" t="s">
        <v>356</v>
      </c>
      <c r="B21" s="9" t="s">
        <v>494</v>
      </c>
      <c r="C21" s="9" t="s">
        <v>495</v>
      </c>
      <c r="D21" s="9" t="s">
        <v>356</v>
      </c>
      <c r="E21" s="9" t="s">
        <v>356</v>
      </c>
      <c r="F21" s="9" t="s">
        <v>496</v>
      </c>
      <c r="G21" s="9" t="s">
        <v>497</v>
      </c>
      <c r="H21" s="9" t="s">
        <v>356</v>
      </c>
      <c r="I21" s="9" t="s">
        <v>498</v>
      </c>
      <c r="J21" s="9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499</v>
      </c>
    </row>
    <row r="2" customFormat="false" ht="15" hidden="false" customHeight="false" outlineLevel="0" collapsed="false">
      <c r="A2" s="2" t="s">
        <v>500</v>
      </c>
    </row>
    <row r="4" customFormat="false" ht="31.5" hidden="false" customHeight="true" outlineLevel="0" collapsed="false">
      <c r="A4" s="3" t="s">
        <v>106</v>
      </c>
      <c r="B4" s="3" t="s">
        <v>501</v>
      </c>
      <c r="C4" s="3" t="s">
        <v>502</v>
      </c>
      <c r="D4" s="3" t="s">
        <v>503</v>
      </c>
      <c r="E4" s="3" t="s">
        <v>504</v>
      </c>
      <c r="F4" s="3" t="s">
        <v>505</v>
      </c>
      <c r="G4" s="3" t="s">
        <v>506</v>
      </c>
    </row>
    <row r="5" customFormat="false" ht="23.85" hidden="false" customHeight="false" outlineLevel="0" collapsed="false">
      <c r="A5" s="9" t="s">
        <v>75</v>
      </c>
      <c r="B5" s="9" t="s">
        <v>507</v>
      </c>
      <c r="C5" s="9" t="s">
        <v>508</v>
      </c>
      <c r="D5" s="9" t="s">
        <v>509</v>
      </c>
      <c r="E5" s="9" t="s">
        <v>510</v>
      </c>
      <c r="F5" s="9" t="s">
        <v>511</v>
      </c>
      <c r="G5" s="9" t="s">
        <v>512</v>
      </c>
    </row>
    <row r="6" customFormat="false" ht="23.85" hidden="false" customHeight="false" outlineLevel="0" collapsed="false">
      <c r="A6" s="47" t="s">
        <v>75</v>
      </c>
      <c r="B6" s="47" t="s">
        <v>513</v>
      </c>
      <c r="C6" s="47" t="s">
        <v>514</v>
      </c>
      <c r="D6" s="47" t="s">
        <v>515</v>
      </c>
      <c r="E6" s="47" t="s">
        <v>516</v>
      </c>
      <c r="F6" s="47" t="s">
        <v>517</v>
      </c>
      <c r="G6" s="47" t="s">
        <v>518</v>
      </c>
    </row>
    <row r="7" customFormat="false" ht="15" hidden="false" customHeight="false" outlineLevel="0" collapsed="false">
      <c r="A7" s="9" t="s">
        <v>75</v>
      </c>
      <c r="B7" s="9" t="s">
        <v>519</v>
      </c>
      <c r="C7" s="9" t="s">
        <v>514</v>
      </c>
      <c r="D7" s="9" t="s">
        <v>520</v>
      </c>
      <c r="E7" s="9" t="s">
        <v>521</v>
      </c>
      <c r="F7" s="9" t="s">
        <v>522</v>
      </c>
      <c r="G7" s="9" t="s">
        <v>523</v>
      </c>
    </row>
    <row r="8" customFormat="false" ht="23.85" hidden="false" customHeight="false" outlineLevel="0" collapsed="false">
      <c r="A8" s="47" t="s">
        <v>75</v>
      </c>
      <c r="B8" s="47" t="s">
        <v>524</v>
      </c>
      <c r="C8" s="47" t="s">
        <v>525</v>
      </c>
      <c r="D8" s="47" t="s">
        <v>526</v>
      </c>
      <c r="E8" s="47" t="s">
        <v>527</v>
      </c>
      <c r="F8" s="47" t="s">
        <v>528</v>
      </c>
      <c r="G8" s="47" t="s">
        <v>529</v>
      </c>
    </row>
    <row r="9" customFormat="false" ht="23.85" hidden="false" customHeight="false" outlineLevel="0" collapsed="false">
      <c r="A9" s="9" t="s">
        <v>75</v>
      </c>
      <c r="B9" s="9" t="s">
        <v>530</v>
      </c>
      <c r="C9" s="9" t="s">
        <v>531</v>
      </c>
      <c r="D9" s="9" t="s">
        <v>532</v>
      </c>
      <c r="E9" s="9" t="s">
        <v>533</v>
      </c>
      <c r="F9" s="9" t="s">
        <v>517</v>
      </c>
      <c r="G9" s="9" t="s">
        <v>534</v>
      </c>
    </row>
    <row r="10" customFormat="false" ht="23.85" hidden="false" customHeight="false" outlineLevel="0" collapsed="false">
      <c r="A10" s="47" t="s">
        <v>77</v>
      </c>
      <c r="B10" s="47" t="s">
        <v>535</v>
      </c>
      <c r="C10" s="47" t="s">
        <v>536</v>
      </c>
      <c r="D10" s="47" t="s">
        <v>537</v>
      </c>
      <c r="E10" s="47" t="s">
        <v>538</v>
      </c>
      <c r="F10" s="47" t="s">
        <v>539</v>
      </c>
      <c r="G10" s="47" t="s">
        <v>540</v>
      </c>
    </row>
    <row r="11" customFormat="false" ht="35.05" hidden="false" customHeight="false" outlineLevel="0" collapsed="false">
      <c r="A11" s="9" t="s">
        <v>77</v>
      </c>
      <c r="B11" s="9" t="s">
        <v>541</v>
      </c>
      <c r="C11" s="9" t="s">
        <v>542</v>
      </c>
      <c r="D11" s="9" t="s">
        <v>356</v>
      </c>
      <c r="E11" s="9" t="s">
        <v>543</v>
      </c>
      <c r="F11" s="9" t="s">
        <v>544</v>
      </c>
      <c r="G11" s="9" t="s">
        <v>545</v>
      </c>
    </row>
    <row r="12" customFormat="false" ht="23.85" hidden="false" customHeight="false" outlineLevel="0" collapsed="false">
      <c r="A12" s="47" t="s">
        <v>546</v>
      </c>
      <c r="B12" s="47" t="s">
        <v>547</v>
      </c>
      <c r="C12" s="47" t="s">
        <v>548</v>
      </c>
      <c r="D12" s="47" t="s">
        <v>549</v>
      </c>
      <c r="E12" s="47" t="s">
        <v>356</v>
      </c>
      <c r="F12" s="47" t="s">
        <v>550</v>
      </c>
      <c r="G12" s="47" t="s">
        <v>551</v>
      </c>
    </row>
    <row r="13" customFormat="false" ht="35.05" hidden="false" customHeight="false" outlineLevel="0" collapsed="false">
      <c r="A13" s="9" t="s">
        <v>77</v>
      </c>
      <c r="B13" s="9" t="s">
        <v>552</v>
      </c>
      <c r="C13" s="9" t="s">
        <v>553</v>
      </c>
      <c r="D13" s="9" t="s">
        <v>554</v>
      </c>
      <c r="E13" s="9" t="s">
        <v>356</v>
      </c>
      <c r="F13" s="9" t="s">
        <v>555</v>
      </c>
      <c r="G13" s="9" t="s">
        <v>556</v>
      </c>
    </row>
    <row r="14" customFormat="false" ht="15" hidden="false" customHeight="false" outlineLevel="0" collapsed="false">
      <c r="A14" s="47" t="s">
        <v>77</v>
      </c>
      <c r="B14" s="47" t="s">
        <v>557</v>
      </c>
      <c r="C14" s="47" t="s">
        <v>514</v>
      </c>
      <c r="D14" s="47" t="s">
        <v>558</v>
      </c>
      <c r="E14" s="47" t="s">
        <v>356</v>
      </c>
      <c r="F14" s="47" t="s">
        <v>559</v>
      </c>
      <c r="G14" s="47" t="s">
        <v>560</v>
      </c>
    </row>
    <row r="15" customFormat="false" ht="35.05" hidden="false" customHeight="false" outlineLevel="0" collapsed="false">
      <c r="A15" s="9" t="s">
        <v>561</v>
      </c>
      <c r="B15" s="9" t="s">
        <v>562</v>
      </c>
      <c r="C15" s="9" t="s">
        <v>356</v>
      </c>
      <c r="D15" s="9" t="s">
        <v>563</v>
      </c>
      <c r="E15" s="9" t="s">
        <v>356</v>
      </c>
      <c r="F15" s="9" t="s">
        <v>356</v>
      </c>
      <c r="G15" s="9" t="s">
        <v>564</v>
      </c>
    </row>
    <row r="16" customFormat="false" ht="35.05" hidden="false" customHeight="false" outlineLevel="0" collapsed="false">
      <c r="A16" s="47" t="s">
        <v>18</v>
      </c>
      <c r="B16" s="47" t="s">
        <v>565</v>
      </c>
      <c r="C16" s="47" t="s">
        <v>566</v>
      </c>
      <c r="D16" s="47" t="s">
        <v>567</v>
      </c>
      <c r="E16" s="47" t="s">
        <v>568</v>
      </c>
      <c r="F16" s="47" t="s">
        <v>517</v>
      </c>
      <c r="G16" s="47" t="s">
        <v>569</v>
      </c>
    </row>
    <row r="17" customFormat="false" ht="23.85" hidden="false" customHeight="false" outlineLevel="0" collapsed="false">
      <c r="A17" s="9" t="s">
        <v>18</v>
      </c>
      <c r="B17" s="9" t="s">
        <v>570</v>
      </c>
      <c r="C17" s="9" t="s">
        <v>566</v>
      </c>
      <c r="D17" s="9" t="s">
        <v>571</v>
      </c>
      <c r="E17" s="9" t="s">
        <v>572</v>
      </c>
      <c r="F17" s="9" t="s">
        <v>517</v>
      </c>
      <c r="G17" s="9" t="s">
        <v>573</v>
      </c>
    </row>
    <row r="18" customFormat="false" ht="35.05" hidden="false" customHeight="false" outlineLevel="0" collapsed="false">
      <c r="A18" s="47" t="s">
        <v>18</v>
      </c>
      <c r="B18" s="47" t="s">
        <v>574</v>
      </c>
      <c r="C18" s="47" t="s">
        <v>566</v>
      </c>
      <c r="D18" s="47" t="s">
        <v>575</v>
      </c>
      <c r="E18" s="47" t="s">
        <v>576</v>
      </c>
      <c r="F18" s="47" t="s">
        <v>517</v>
      </c>
      <c r="G18" s="47" t="s">
        <v>577</v>
      </c>
    </row>
    <row r="19" customFormat="false" ht="23.85" hidden="false" customHeight="false" outlineLevel="0" collapsed="false">
      <c r="A19" s="9" t="s">
        <v>18</v>
      </c>
      <c r="B19" s="9" t="s">
        <v>578</v>
      </c>
      <c r="C19" s="9" t="s">
        <v>566</v>
      </c>
      <c r="D19" s="9" t="s">
        <v>579</v>
      </c>
      <c r="E19" s="9" t="s">
        <v>580</v>
      </c>
      <c r="F19" s="9" t="s">
        <v>581</v>
      </c>
      <c r="G19" s="9" t="s">
        <v>582</v>
      </c>
    </row>
    <row r="20" customFormat="false" ht="23.85" hidden="false" customHeight="false" outlineLevel="0" collapsed="false">
      <c r="A20" s="47" t="s">
        <v>18</v>
      </c>
      <c r="B20" s="47" t="s">
        <v>583</v>
      </c>
      <c r="C20" s="47" t="s">
        <v>584</v>
      </c>
      <c r="D20" s="47" t="s">
        <v>356</v>
      </c>
      <c r="E20" s="47" t="s">
        <v>356</v>
      </c>
      <c r="F20" s="47" t="s">
        <v>585</v>
      </c>
      <c r="G20" s="47" t="s">
        <v>586</v>
      </c>
    </row>
    <row r="21" customFormat="false" ht="23.85" hidden="false" customHeight="false" outlineLevel="0" collapsed="false">
      <c r="A21" s="9" t="s">
        <v>18</v>
      </c>
      <c r="B21" s="9" t="s">
        <v>587</v>
      </c>
      <c r="C21" s="9" t="s">
        <v>588</v>
      </c>
      <c r="D21" s="9" t="s">
        <v>589</v>
      </c>
      <c r="E21" s="9" t="s">
        <v>356</v>
      </c>
      <c r="F21" s="9" t="s">
        <v>590</v>
      </c>
      <c r="G21" s="9" t="s">
        <v>591</v>
      </c>
    </row>
    <row r="22" customFormat="false" ht="23.85" hidden="false" customHeight="false" outlineLevel="0" collapsed="false">
      <c r="A22" s="47" t="s">
        <v>18</v>
      </c>
      <c r="B22" s="47" t="s">
        <v>592</v>
      </c>
      <c r="C22" s="47" t="s">
        <v>593</v>
      </c>
      <c r="D22" s="47" t="s">
        <v>594</v>
      </c>
      <c r="E22" s="47" t="s">
        <v>356</v>
      </c>
      <c r="F22" s="47" t="s">
        <v>550</v>
      </c>
      <c r="G22" s="47" t="s">
        <v>595</v>
      </c>
    </row>
    <row r="23" customFormat="false" ht="35.05" hidden="false" customHeight="false" outlineLevel="0" collapsed="false">
      <c r="A23" s="9" t="s">
        <v>18</v>
      </c>
      <c r="B23" s="9" t="s">
        <v>596</v>
      </c>
      <c r="C23" s="9" t="s">
        <v>597</v>
      </c>
      <c r="D23" s="9" t="s">
        <v>598</v>
      </c>
      <c r="E23" s="9" t="s">
        <v>599</v>
      </c>
      <c r="F23" s="9" t="s">
        <v>600</v>
      </c>
      <c r="G23" s="9" t="s">
        <v>601</v>
      </c>
    </row>
    <row r="24" customFormat="false" ht="23.85" hidden="false" customHeight="false" outlineLevel="0" collapsed="false">
      <c r="A24" s="47" t="s">
        <v>18</v>
      </c>
      <c r="B24" s="47" t="s">
        <v>602</v>
      </c>
      <c r="C24" s="47" t="s">
        <v>603</v>
      </c>
      <c r="D24" s="47" t="s">
        <v>604</v>
      </c>
      <c r="E24" s="47" t="s">
        <v>605</v>
      </c>
      <c r="F24" s="47" t="s">
        <v>606</v>
      </c>
      <c r="G24" s="47" t="s">
        <v>607</v>
      </c>
    </row>
    <row r="25" customFormat="false" ht="23.85" hidden="false" customHeight="false" outlineLevel="0" collapsed="false">
      <c r="A25" s="9" t="s">
        <v>18</v>
      </c>
      <c r="B25" s="9" t="s">
        <v>608</v>
      </c>
      <c r="C25" s="9" t="s">
        <v>609</v>
      </c>
      <c r="D25" s="9" t="s">
        <v>356</v>
      </c>
      <c r="E25" s="9" t="s">
        <v>356</v>
      </c>
      <c r="F25" s="9" t="s">
        <v>550</v>
      </c>
      <c r="G25" s="9" t="s">
        <v>610</v>
      </c>
    </row>
    <row r="26" customFormat="false" ht="35.05" hidden="false" customHeight="false" outlineLevel="0" collapsed="false">
      <c r="A26" s="47" t="s">
        <v>18</v>
      </c>
      <c r="B26" s="47" t="s">
        <v>611</v>
      </c>
      <c r="C26" s="47" t="s">
        <v>612</v>
      </c>
      <c r="D26" s="47" t="s">
        <v>356</v>
      </c>
      <c r="E26" s="47" t="s">
        <v>613</v>
      </c>
      <c r="F26" s="47" t="s">
        <v>614</v>
      </c>
      <c r="G26" s="47" t="s">
        <v>615</v>
      </c>
    </row>
    <row r="27" customFormat="false" ht="15" hidden="false" customHeight="false" outlineLevel="0" collapsed="false">
      <c r="A27" s="9" t="s">
        <v>80</v>
      </c>
      <c r="B27" s="9" t="s">
        <v>616</v>
      </c>
      <c r="C27" s="9" t="s">
        <v>566</v>
      </c>
      <c r="D27" s="9" t="s">
        <v>617</v>
      </c>
      <c r="E27" s="9" t="s">
        <v>618</v>
      </c>
      <c r="F27" s="9" t="s">
        <v>517</v>
      </c>
      <c r="G27" s="9" t="s">
        <v>619</v>
      </c>
    </row>
    <row r="28" customFormat="false" ht="23.85" hidden="false" customHeight="false" outlineLevel="0" collapsed="false">
      <c r="A28" s="47" t="s">
        <v>80</v>
      </c>
      <c r="B28" s="47" t="s">
        <v>620</v>
      </c>
      <c r="C28" s="47" t="s">
        <v>566</v>
      </c>
      <c r="D28" s="47" t="s">
        <v>621</v>
      </c>
      <c r="E28" s="47" t="s">
        <v>356</v>
      </c>
      <c r="F28" s="47" t="s">
        <v>517</v>
      </c>
      <c r="G28" s="47" t="s">
        <v>622</v>
      </c>
    </row>
    <row r="29" customFormat="false" ht="15" hidden="false" customHeight="false" outlineLevel="0" collapsed="false">
      <c r="A29" s="9" t="s">
        <v>80</v>
      </c>
      <c r="B29" s="9" t="s">
        <v>623</v>
      </c>
      <c r="C29" s="9" t="s">
        <v>514</v>
      </c>
      <c r="D29" s="9" t="s">
        <v>624</v>
      </c>
      <c r="E29" s="9" t="s">
        <v>356</v>
      </c>
      <c r="F29" s="9" t="s">
        <v>517</v>
      </c>
      <c r="G29" s="9" t="s">
        <v>625</v>
      </c>
    </row>
    <row r="30" customFormat="false" ht="15" hidden="false" customHeight="false" outlineLevel="0" collapsed="false">
      <c r="A30" s="47" t="s">
        <v>80</v>
      </c>
      <c r="B30" s="47" t="s">
        <v>626</v>
      </c>
      <c r="C30" s="47" t="s">
        <v>627</v>
      </c>
      <c r="D30" s="47" t="s">
        <v>356</v>
      </c>
      <c r="E30" s="47" t="s">
        <v>356</v>
      </c>
      <c r="F30" s="47" t="s">
        <v>550</v>
      </c>
      <c r="G30" s="47" t="s">
        <v>628</v>
      </c>
    </row>
    <row r="31" customFormat="false" ht="23.85" hidden="false" customHeight="false" outlineLevel="0" collapsed="false">
      <c r="A31" s="9" t="s">
        <v>82</v>
      </c>
      <c r="B31" s="9" t="s">
        <v>629</v>
      </c>
      <c r="C31" s="9" t="s">
        <v>630</v>
      </c>
      <c r="D31" s="9" t="s">
        <v>631</v>
      </c>
      <c r="E31" s="9" t="s">
        <v>632</v>
      </c>
      <c r="F31" s="9" t="s">
        <v>517</v>
      </c>
      <c r="G31" s="9" t="s">
        <v>633</v>
      </c>
    </row>
    <row r="32" customFormat="false" ht="15" hidden="false" customHeight="false" outlineLevel="0" collapsed="false">
      <c r="A32" s="47" t="s">
        <v>84</v>
      </c>
      <c r="B32" s="47" t="s">
        <v>634</v>
      </c>
      <c r="C32" s="47" t="s">
        <v>566</v>
      </c>
      <c r="D32" s="47" t="s">
        <v>635</v>
      </c>
      <c r="E32" s="47" t="s">
        <v>636</v>
      </c>
      <c r="F32" s="47" t="s">
        <v>517</v>
      </c>
      <c r="G32" s="47" t="s">
        <v>637</v>
      </c>
    </row>
    <row r="33" customFormat="false" ht="15" hidden="false" customHeight="false" outlineLevel="0" collapsed="false">
      <c r="A33" s="9" t="s">
        <v>84</v>
      </c>
      <c r="B33" s="9" t="s">
        <v>638</v>
      </c>
      <c r="C33" s="9" t="s">
        <v>639</v>
      </c>
      <c r="D33" s="9" t="s">
        <v>356</v>
      </c>
      <c r="E33" s="9" t="s">
        <v>356</v>
      </c>
      <c r="F33" s="9" t="s">
        <v>550</v>
      </c>
      <c r="G33" s="9" t="s">
        <v>640</v>
      </c>
    </row>
    <row r="34" customFormat="false" ht="35.05" hidden="false" customHeight="false" outlineLevel="0" collapsed="false">
      <c r="A34" s="47" t="s">
        <v>641</v>
      </c>
      <c r="B34" s="47" t="s">
        <v>642</v>
      </c>
      <c r="C34" s="47" t="s">
        <v>643</v>
      </c>
      <c r="D34" s="47" t="s">
        <v>356</v>
      </c>
      <c r="E34" s="47" t="s">
        <v>356</v>
      </c>
      <c r="F34" s="47" t="s">
        <v>467</v>
      </c>
      <c r="G34" s="47" t="s">
        <v>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645</v>
      </c>
    </row>
    <row r="2" customFormat="false" ht="15" hidden="false" customHeight="false" outlineLevel="0" collapsed="false">
      <c r="A2" s="2" t="s">
        <v>646</v>
      </c>
    </row>
    <row r="4" customFormat="false" ht="31.5" hidden="false" customHeight="true" outlineLevel="0" collapsed="false">
      <c r="A4" s="3" t="s">
        <v>647</v>
      </c>
      <c r="B4" s="3" t="s">
        <v>648</v>
      </c>
      <c r="C4" s="3" t="s">
        <v>649</v>
      </c>
    </row>
    <row r="5" customFormat="false" ht="23.85" hidden="false" customHeight="false" outlineLevel="0" collapsed="false">
      <c r="A5" s="25" t="n">
        <v>1</v>
      </c>
      <c r="B5" s="9" t="s">
        <v>650</v>
      </c>
      <c r="C5" s="9" t="s">
        <v>651</v>
      </c>
    </row>
    <row r="6" customFormat="false" ht="15" hidden="false" customHeight="false" outlineLevel="0" collapsed="false">
      <c r="A6" s="34" t="n">
        <v>2</v>
      </c>
      <c r="B6" s="47" t="s">
        <v>652</v>
      </c>
      <c r="C6" s="47" t="s">
        <v>653</v>
      </c>
    </row>
    <row r="7" customFormat="false" ht="15" hidden="false" customHeight="false" outlineLevel="0" collapsed="false">
      <c r="A7" s="25" t="n">
        <v>3</v>
      </c>
      <c r="B7" s="9" t="s">
        <v>654</v>
      </c>
      <c r="C7" s="9" t="s">
        <v>655</v>
      </c>
    </row>
    <row r="8" customFormat="false" ht="15" hidden="false" customHeight="false" outlineLevel="0" collapsed="false">
      <c r="A8" s="34" t="n">
        <v>4</v>
      </c>
      <c r="B8" s="47" t="s">
        <v>656</v>
      </c>
      <c r="C8" s="47" t="s">
        <v>657</v>
      </c>
    </row>
    <row r="9" customFormat="false" ht="15" hidden="false" customHeight="false" outlineLevel="0" collapsed="false">
      <c r="A9" s="25" t="n">
        <v>5</v>
      </c>
      <c r="B9" s="9" t="s">
        <v>658</v>
      </c>
      <c r="C9" s="9" t="s">
        <v>659</v>
      </c>
    </row>
    <row r="10" customFormat="false" ht="15" hidden="false" customHeight="false" outlineLevel="0" collapsed="false">
      <c r="A10" s="34" t="n">
        <v>6</v>
      </c>
      <c r="B10" s="47" t="s">
        <v>660</v>
      </c>
      <c r="C10" s="47" t="s">
        <v>661</v>
      </c>
    </row>
    <row r="11" customFormat="false" ht="15" hidden="false" customHeight="false" outlineLevel="0" collapsed="false">
      <c r="A11" s="25" t="n">
        <v>7</v>
      </c>
      <c r="B11" s="9" t="s">
        <v>662</v>
      </c>
      <c r="C11" s="9" t="s">
        <v>663</v>
      </c>
    </row>
    <row r="12" customFormat="false" ht="15" hidden="false" customHeight="false" outlineLevel="0" collapsed="false">
      <c r="A12" s="34" t="n">
        <v>8</v>
      </c>
      <c r="B12" s="47" t="s">
        <v>664</v>
      </c>
      <c r="C12" s="47" t="s">
        <v>665</v>
      </c>
    </row>
    <row r="13" customFormat="false" ht="15" hidden="false" customHeight="false" outlineLevel="0" collapsed="false">
      <c r="A13" s="25" t="n">
        <v>9</v>
      </c>
      <c r="B13" s="9" t="s">
        <v>666</v>
      </c>
      <c r="C13" s="9" t="s">
        <v>667</v>
      </c>
    </row>
    <row r="14" customFormat="false" ht="15" hidden="false" customHeight="false" outlineLevel="0" collapsed="false">
      <c r="A14" s="34" t="n">
        <v>10</v>
      </c>
      <c r="B14" s="47" t="s">
        <v>668</v>
      </c>
      <c r="C14" s="47" t="s">
        <v>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670</v>
      </c>
    </row>
    <row r="2" customFormat="false" ht="15" hidden="false" customHeight="false" outlineLevel="0" collapsed="false">
      <c r="A2" s="2" t="s">
        <v>671</v>
      </c>
    </row>
    <row r="4" customFormat="false" ht="31.5" hidden="false" customHeight="true" outlineLevel="0" collapsed="false">
      <c r="A4" s="3" t="s">
        <v>672</v>
      </c>
      <c r="B4" s="3" t="s">
        <v>673</v>
      </c>
      <c r="C4" s="3" t="s">
        <v>674</v>
      </c>
    </row>
    <row r="5" customFormat="false" ht="23.85" hidden="false" customHeight="false" outlineLevel="0" collapsed="false">
      <c r="A5" s="9" t="s">
        <v>675</v>
      </c>
      <c r="B5" s="9" t="s">
        <v>676</v>
      </c>
      <c r="C5" s="32" t="s">
        <v>209</v>
      </c>
    </row>
    <row r="6" customFormat="false" ht="15" hidden="false" customHeight="false" outlineLevel="0" collapsed="false">
      <c r="A6" s="47" t="s">
        <v>675</v>
      </c>
      <c r="B6" s="47" t="s">
        <v>677</v>
      </c>
      <c r="C6" s="32" t="s">
        <v>209</v>
      </c>
    </row>
    <row r="7" customFormat="false" ht="15" hidden="false" customHeight="false" outlineLevel="0" collapsed="false">
      <c r="A7" s="9" t="s">
        <v>678</v>
      </c>
      <c r="B7" s="9" t="s">
        <v>679</v>
      </c>
      <c r="C7" s="32" t="s">
        <v>209</v>
      </c>
    </row>
    <row r="8" customFormat="false" ht="15" hidden="false" customHeight="false" outlineLevel="0" collapsed="false">
      <c r="A8" s="47" t="s">
        <v>680</v>
      </c>
      <c r="B8" s="47" t="s">
        <v>681</v>
      </c>
      <c r="C8" s="32" t="s">
        <v>209</v>
      </c>
    </row>
    <row r="9" customFormat="false" ht="15" hidden="false" customHeight="false" outlineLevel="0" collapsed="false">
      <c r="A9" s="9" t="s">
        <v>680</v>
      </c>
      <c r="B9" s="9" t="s">
        <v>682</v>
      </c>
      <c r="C9" s="32" t="s">
        <v>209</v>
      </c>
    </row>
    <row r="10" customFormat="false" ht="15" hidden="false" customHeight="false" outlineLevel="0" collapsed="false">
      <c r="A10" s="47" t="s">
        <v>683</v>
      </c>
      <c r="B10" s="47" t="s">
        <v>684</v>
      </c>
      <c r="C10" s="32" t="s">
        <v>209</v>
      </c>
    </row>
    <row r="11" customFormat="false" ht="15" hidden="false" customHeight="false" outlineLevel="0" collapsed="false">
      <c r="A11" s="9" t="s">
        <v>683</v>
      </c>
      <c r="B11" s="9" t="s">
        <v>685</v>
      </c>
      <c r="C11" s="32" t="s">
        <v>209</v>
      </c>
    </row>
    <row r="12" customFormat="false" ht="15" hidden="false" customHeight="false" outlineLevel="0" collapsed="false">
      <c r="A12" s="47" t="s">
        <v>686</v>
      </c>
      <c r="B12" s="47" t="s">
        <v>687</v>
      </c>
      <c r="C12" s="32" t="s">
        <v>209</v>
      </c>
    </row>
    <row r="13" customFormat="false" ht="15" hidden="false" customHeight="false" outlineLevel="0" collapsed="false">
      <c r="A13" s="9" t="s">
        <v>688</v>
      </c>
      <c r="B13" s="9" t="s">
        <v>689</v>
      </c>
      <c r="C13" s="32" t="s">
        <v>209</v>
      </c>
    </row>
    <row r="14" customFormat="false" ht="15" hidden="false" customHeight="false" outlineLevel="0" collapsed="false">
      <c r="A14" s="47" t="s">
        <v>690</v>
      </c>
      <c r="B14" s="47" t="s">
        <v>691</v>
      </c>
      <c r="C14" s="32" t="s">
        <v>209</v>
      </c>
    </row>
    <row r="15" customFormat="false" ht="15" hidden="false" customHeight="false" outlineLevel="0" collapsed="false">
      <c r="A15" s="9" t="s">
        <v>692</v>
      </c>
      <c r="B15" s="9" t="s">
        <v>693</v>
      </c>
      <c r="C15" s="32" t="s">
        <v>209</v>
      </c>
    </row>
    <row r="16" customFormat="false" ht="15" hidden="false" customHeight="false" outlineLevel="0" collapsed="false">
      <c r="A16" s="47" t="s">
        <v>692</v>
      </c>
      <c r="B16" s="47" t="s">
        <v>694</v>
      </c>
      <c r="C16" s="32" t="s">
        <v>209</v>
      </c>
    </row>
    <row r="17" customFormat="false" ht="15" hidden="false" customHeight="false" outlineLevel="0" collapsed="false">
      <c r="A17" s="9" t="s">
        <v>695</v>
      </c>
      <c r="B17" s="9" t="s">
        <v>696</v>
      </c>
      <c r="C17" s="32" t="s">
        <v>209</v>
      </c>
    </row>
    <row r="18" customFormat="false" ht="15" hidden="false" customHeight="false" outlineLevel="0" collapsed="false">
      <c r="A18" s="47" t="s">
        <v>697</v>
      </c>
      <c r="B18" s="47" t="s">
        <v>698</v>
      </c>
      <c r="C18" s="32" t="s">
        <v>209</v>
      </c>
    </row>
    <row r="19" customFormat="false" ht="15" hidden="false" customHeight="false" outlineLevel="0" collapsed="false">
      <c r="A19" s="9" t="s">
        <v>616</v>
      </c>
      <c r="B19" s="9" t="s">
        <v>699</v>
      </c>
      <c r="C19" s="32" t="s">
        <v>209</v>
      </c>
    </row>
    <row r="20" customFormat="false" ht="15" hidden="false" customHeight="false" outlineLevel="0" collapsed="false">
      <c r="A20" s="47" t="s">
        <v>616</v>
      </c>
      <c r="B20" s="47" t="s">
        <v>700</v>
      </c>
      <c r="C20" s="32" t="s">
        <v>209</v>
      </c>
    </row>
    <row r="21" customFormat="false" ht="15" hidden="false" customHeight="false" outlineLevel="0" collapsed="false">
      <c r="A21" s="9" t="s">
        <v>701</v>
      </c>
      <c r="B21" s="9" t="s">
        <v>702</v>
      </c>
      <c r="C21" s="32" t="s">
        <v>209</v>
      </c>
    </row>
    <row r="22" customFormat="false" ht="15" hidden="false" customHeight="false" outlineLevel="0" collapsed="false">
      <c r="A22" s="47" t="s">
        <v>703</v>
      </c>
      <c r="B22" s="47" t="s">
        <v>704</v>
      </c>
      <c r="C22" s="32" t="s">
        <v>209</v>
      </c>
    </row>
    <row r="23" customFormat="false" ht="15" hidden="false" customHeight="false" outlineLevel="0" collapsed="false">
      <c r="A23" s="9" t="s">
        <v>705</v>
      </c>
      <c r="B23" s="9" t="s">
        <v>706</v>
      </c>
      <c r="C23" s="32" t="s">
        <v>209</v>
      </c>
    </row>
  </sheetData>
  <hyperlinks>
    <hyperlink ref="C5" r:id="rId1" display="Link"/>
    <hyperlink ref="C6" r:id="rId2" display="Link"/>
    <hyperlink ref="C7" r:id="rId3" display="Link"/>
    <hyperlink ref="C8" r:id="rId4" display="Link"/>
    <hyperlink ref="C9" r:id="rId5" display="Link"/>
    <hyperlink ref="C10" r:id="rId6" display="Link"/>
    <hyperlink ref="C11" r:id="rId7" display="Link"/>
    <hyperlink ref="C12" r:id="rId8" display="Link"/>
    <hyperlink ref="C13" r:id="rId9" display="Link"/>
    <hyperlink ref="C14" r:id="rId10" display="Link"/>
    <hyperlink ref="C15" r:id="rId11" display="Link"/>
    <hyperlink ref="C16" r:id="rId12" display="Link"/>
    <hyperlink ref="C17" r:id="rId13" display="Link"/>
    <hyperlink ref="C18" r:id="rId14" display="Link"/>
    <hyperlink ref="C19" r:id="rId15" display="Link"/>
    <hyperlink ref="C20" r:id="rId16" display="Link"/>
    <hyperlink ref="C21" r:id="rId17" display="Link"/>
    <hyperlink ref="C22" r:id="rId18" display="Link"/>
    <hyperlink ref="C23" r:id="rId19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2026-10-19T00:15:56Z</dcterms:created>
  <dc:creator>openpyxl</dc:creator>
  <dc:description/>
  <dc:language>en-US</dc:language>
  <cp:lastModifiedBy/>
  <dcterms:modified xsi:type="dcterms:W3CDTF">2026-10-19T00:15:56Z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