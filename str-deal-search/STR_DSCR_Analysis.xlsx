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Manatee-Sarasota" sheetId="3" state="visible" r:id="rId5"/>
    <sheet name="Pinellas" sheetId="4" state="visible" r:id="rId6"/>
    <sheet name="Other SWFL Listings" sheetId="5" state="visible" r:id="rId7"/>
    <sheet name="Monroe (Keys)" sheetId="6" state="visible" r:id="rId8"/>
    <sheet name="Down Pmt Scenarios" sheetId="7" state="visible" r:id="rId9"/>
    <sheet name="PropertyRadar" sheetId="8" state="visible" r:id="rId10"/>
    <sheet name="Other SWFL Markets" sheetId="9" state="visible" r:id="rId11"/>
    <sheet name="Keys Market Guide" sheetId="10" state="visible" r:id="rId12"/>
    <sheet name="STR Rules" sheetId="11" state="visible" r:id="rId13"/>
    <sheet name="Diligence Checklist" sheetId="12" state="visible" r:id="rId14"/>
    <sheet name="Sources" sheetId="13" state="visible" r:id="rId15"/>
  </sheets>
  <definedNames>
    <definedName function="false" hidden="true" localSheetId="7" name="_xlnm._FilterDatabase" vbProcedure="false">PropertyRadar!$A$27:$AE$220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7" authorId="0">
      <text>
        <r>
          <rPr>
            <sz val="10"/>
            <rFont val="Arial"/>
            <family val="2"/>
          </rPr>
          <t xml:space="preserve">$53k STR (2025, partial owner use) + ~$20k/yr LTR est. from 2026 rental listings ($1,700-2,100/mo).</t>
        </r>
      </text>
    </comment>
    <comment ref="K10" authorId="0">
      <text>
        <r>
          <rPr>
            <sz val="10"/>
            <rFont val="Arial"/>
            <family val="2"/>
          </rPr>
          <t xml:space="preserve">$45.2k YTD through ~Sep annualized for SWFL seasonality (~80% of year) -&gt; ~$54k.</t>
        </r>
      </text>
    </comment>
    <comment ref="K11" authorId="0">
      <text>
        <r>
          <rPr>
            <sz val="10"/>
            <rFont val="Arial"/>
            <family val="2"/>
          </rPr>
          <t xml:space="preserve">$53k YTD bookings (Aug) annualized conservatively to ~$60k; bookings may include future stays.</t>
        </r>
      </text>
    </comment>
    <comment ref="K16" authorId="0">
      <text>
        <r>
          <rPr>
            <sz val="10"/>
            <rFont val="Arial"/>
            <family val="2"/>
          </rPr>
          <t xml:space="preserve">Jan-Jun $29.3k (peak half) annualized to ~$44k: verify T12.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6" authorId="0">
      <text>
        <r>
          <rPr>
            <sz val="10"/>
            <rFont val="Arial"/>
            <family val="2"/>
          </rPr>
          <t xml:space="preserve">Listing calls the $71k 'estimated': require T12 platform payouts before relying on it.</t>
        </r>
      </text>
    </comment>
    <comment ref="K7" authorId="0">
      <text>
        <r>
          <rPr>
            <sz val="10"/>
            <rFont val="Arial"/>
            <family val="2"/>
          </rPr>
          <t xml:space="preserve">Run-rate for first year (&lt;12 months actual): most DSCR lenders need 12 months or will use AirDNA x 70-80%.</t>
        </r>
      </text>
    </comment>
    <comment ref="K11" authorId="0">
      <text>
        <r>
          <rPr>
            <sz val="10"/>
            <rFont val="Arial"/>
            <family val="2"/>
          </rPr>
          <t xml:space="preserve">2027 forward bookings used as annual gross; no trailing-12 figure.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6" authorId="0">
      <text>
        <r>
          <rPr>
            <sz val="10"/>
            <rFont val="Arial"/>
            <family val="2"/>
          </rPr>
          <t xml:space="preserve">HOA not shown in sources: $1,200/mo placeholder. Confirm HOA, master policy, and permit/exemption.</t>
        </r>
      </text>
    </comment>
    <comment ref="K7" authorId="0">
      <text>
        <r>
          <rPr>
            <sz val="10"/>
            <rFont val="Arial"/>
            <family val="2"/>
          </rPr>
          <t xml:space="preserve">Agent is also the owner; $100k avg is unusually high for a ~826 sf 2/2: demand statements.</t>
        </r>
      </text>
    </comment>
    <comment ref="K9" authorId="0">
      <text>
        <r>
          <rPr>
            <sz val="10"/>
            <rFont val="Arial"/>
            <family val="2"/>
          </rPr>
          <t xml:space="preserve">Jan-Jun (incl. Feb-Apr peak) ~60% of a Keys year -&gt; ~$49k annualized. Verify T12.</t>
        </r>
      </text>
    </comment>
    <comment ref="K11" authorId="0">
      <text>
        <r>
          <rPr>
            <sz val="10"/>
            <rFont val="Arial"/>
            <family val="2"/>
          </rPr>
          <t xml:space="preserve">Partial year with owner use; ~$38k annualized estimate.</t>
        </r>
      </text>
    </comment>
  </commentList>
</comments>
</file>

<file path=xl/sharedStrings.xml><?xml version="1.0" encoding="utf-8"?>
<sst xmlns="http://schemas.openxmlformats.org/spreadsheetml/2006/main" count="3794" uniqueCount="1411">
  <si>
    <t xml:space="preserve">STR DSCR Search: Summary of Top Picks</t>
  </si>
  <si>
    <t xml:space="preserve">As of 2026-10-18. Every number below is a live link (green) to the market tabs; change inputs there or on Assumptions.</t>
  </si>
  <si>
    <t xml:space="preserve">Market Tab</t>
  </si>
  <si>
    <t xml:space="preserve">Address</t>
  </si>
  <si>
    <t xml:space="preserve">City / ZIP</t>
  </si>
  <si>
    <t xml:space="preserve">Offer Price</t>
  </si>
  <si>
    <t xml:space="preserve">Stated Gross ($/yr)</t>
  </si>
  <si>
    <t xml:space="preserve">PITIA ($/mo)</t>
  </si>
  <si>
    <t xml:space="preserve">DSCR (gross)</t>
  </si>
  <si>
    <t xml:space="preserve">DSCR (lender haircut)</t>
  </si>
  <si>
    <t xml:space="preserve">Cash to Close</t>
  </si>
  <si>
    <t xml:space="preserve">Cash Flow Self-Managed ($/yr)</t>
  </si>
  <si>
    <t xml:space="preserve">Cash Flow Full PM ($/yr)</t>
  </si>
  <si>
    <t xml:space="preserve">Verdict</t>
  </si>
  <si>
    <t xml:space="preserve">Manatee-Sarasota</t>
  </si>
  <si>
    <t xml:space="preserve">#1 OVERALL: write it. PropertyRadar: ~$516k loan (3% equity) and an exemption flag (possible homestead). Seller may not clear payoff at $560k + 3%; verify homestead, T12, FEMA, appraisal.</t>
  </si>
  <si>
    <t xml:space="preserve">Backup: cheapest, STR + LTR hedge. Confirm legal duplex.</t>
  </si>
  <si>
    <t xml:space="preserve">Best income record; appraisal + sq-ft risk. Aggressive offer only.</t>
  </si>
  <si>
    <t xml:space="preserve">Pinellas</t>
  </si>
  <si>
    <t xml:space="preserve">Best Pinellas: licensed since 2022. 'Estimated' $71k: get T12. Confirm Seminole license transfers.</t>
  </si>
  <si>
    <t xml:space="preserve">Highest yield, but &lt;12 months history + jurisdiction (St. Pete vs Lealman) unconfirmed.</t>
  </si>
  <si>
    <t xml:space="preserve">Cheap Largo STR; history is pre-hurricane. Negotiable (257 DOM).</t>
  </si>
  <si>
    <t xml:space="preserve">Other SWFL Listings</t>
  </si>
  <si>
    <t xml:space="preserve">Only SWFL listing that clears after haircut; inland NW Cape, check utility assessment.</t>
  </si>
  <si>
    <t xml:space="preserve">Monroe (Keys)</t>
  </si>
  <si>
    <t xml:space="preserve">Best Keys DSCR on paper, but $100k avg on an 826 sf condo is agent-owner marketing: statements first.</t>
  </si>
  <si>
    <t xml:space="preserve">Cleanest Keys income claim; nightly allowed. Stretch price: ~$220k cash at 25% down.</t>
  </si>
  <si>
    <t xml:space="preserve">Key takeaways</t>
  </si>
  <si>
    <t xml:space="preserve">- Buyer: 800 FICO, $150k earmarked + $550k brokerage + $60k checking. Recommended structure: 25% down, 3% seller credit to rate buydown.</t>
  </si>
  <si>
    <t xml:space="preserve">- Rates are placeholders (7.50 / 7.25 / 7.125% by LTV tier): overwrite on the Assumptions tab and every tab reflows.</t>
  </si>
  <si>
    <t xml:space="preserve">- Cleaning is not a cost (passed through to guests as a cleaning fee): use gross EXCLUDING guest-paid cleaning fees. Platform fees 10%. #1 nets ~+$4.7k/yr self-managed; a 10-15% co-host is about breakeven; full-service PM does not cash flow at today's rates.</t>
  </si>
  <si>
    <t xml:space="preserve">- Pinellas: nightly SFH STRs are legal mainly in unincorporated county (Certificate of Use), Largo, Indian Rocks Beach, Redington Beach. St. Pete, St. Pete Beach, Clearwater residential, Gulfport, Dunedin = 30-day+.</t>
  </si>
  <si>
    <t xml:space="preserve">- Other SWFL: Cape Coral Gulf-access canals (33904/33914) are the best alternative market; Charlotte Harbor canals and unincorporated East Naples next. Avoid Pasco, Citrus, Hernando, City of Naples.</t>
  </si>
  <si>
    <t xml:space="preserve">- Keys: under $950k, documented income is almost all condos in a few STR-legal complexes (Ocean Pointe, Kawama, Hawks Cay). Houses with transferable rental rights are $1M+; county/Islamorada permits don't transfer, Marathon/Key Colony Beach (weekly) are the house plays. Keys insurance and HOAs push PITIA ~40% above the mainland.</t>
  </si>
  <si>
    <t xml:space="preserve">- PropertyRadar pull (193 listed absentee-owned homes, 3 counties): nothing beats 8404 43rd Ave Ter W. Best screen is 216 SW 29th St, Cape Coral (needs ~$52k gross for DSCR 1.00 at list) but it has no rental history; the only house with STR evidence is 930 SW 37th Ter, Cape Coral (state vacation-rental license, no $ figures).</t>
  </si>
  <si>
    <t xml:space="preserve">- All income is seller-stated until verified with 12-24 months of platform payouts + tourist-tax filings.</t>
  </si>
  <si>
    <t xml:space="preserve">STR / Seasonal DSCR Model: Assumptions</t>
  </si>
  <si>
    <t xml:space="preserve">As of 2026-10-18. Blue = input you can change. Yellow = key lever. Black = formula. Green = pulled from another tab.</t>
  </si>
  <si>
    <t xml:space="preserve">BUYER</t>
  </si>
  <si>
    <t xml:space="preserve">Value</t>
  </si>
  <si>
    <t xml:space="preserve">Note / source</t>
  </si>
  <si>
    <t xml:space="preserve">Credit score (FICO)</t>
  </si>
  <si>
    <t xml:space="preserve">Per broker; top DSCR pricing tier.</t>
  </si>
  <si>
    <t xml:space="preserve">Cash earmarked for down + closing</t>
  </si>
  <si>
    <t xml:space="preserve">Per broker.</t>
  </si>
  <si>
    <t xml:space="preserve">Brokerage (reserves / extra down)</t>
  </si>
  <si>
    <t xml:space="preserve">Per broker. CPA: check capital gains before liquidating.</t>
  </si>
  <si>
    <t xml:space="preserve">Checking (EMD)</t>
  </si>
  <si>
    <t xml:space="preserve">Per broker. Earnest money 3-5% to compete.</t>
  </si>
  <si>
    <t xml:space="preserve">LOAN TERMS (DSCR)</t>
  </si>
  <si>
    <t xml:space="preserve">Rate at LTV &gt; 75% (i.e., 80% LTV)</t>
  </si>
  <si>
    <t xml:space="preserve">Placeholder for 800 FICO STR DSCR. Overwrite with live rate sheet.</t>
  </si>
  <si>
    <t xml:space="preserve">Rate at LTV &gt; 70% to 75%</t>
  </si>
  <si>
    <t xml:space="preserve">Placeholder. Overwrite with live rate sheet.</t>
  </si>
  <si>
    <t xml:space="preserve">Rate at LTV &lt;= 70%</t>
  </si>
  <si>
    <t xml:space="preserve">Amortization (months)</t>
  </si>
  <si>
    <t xml:space="preserve">30-year fixed.</t>
  </si>
  <si>
    <t xml:space="preserve">Default down payment %</t>
  </si>
  <si>
    <t xml:space="preserve">Recommended 25% (rate tier + DSCR + cash flow). Each candidate row can override.</t>
  </si>
  <si>
    <t xml:space="preserve">Closing costs (% of price)</t>
  </si>
  <si>
    <t xml:space="preserve">Points/fees, FL doc stamps 0.35% + intangible 0.2% of loan, title, 12-mo prepaid insurance, escrow.</t>
  </si>
  <si>
    <t xml:space="preserve">Reserves required (months PITIA)</t>
  </si>
  <si>
    <t xml:space="preserve">Covered by brokerage; shown for lender sizing only.</t>
  </si>
  <si>
    <t xml:space="preserve">Lender income haircut (counted share of gross)</t>
  </si>
  <si>
    <t xml:space="preserve">Many STR DSCR lenders count ~80% of gross or T12 net of mgmt. Use DSCR (haircut) column to qualify.</t>
  </si>
  <si>
    <t xml:space="preserve">Default base insurance ($/yr): HO + wind + $1M STR liability</t>
  </si>
  <si>
    <t xml:space="preserve">Mainland CBS home ~$500k. Per-county overrides in the county table below (e.g., Monroe/Keys).</t>
  </si>
  <si>
    <t xml:space="preserve">FLOOD INSURANCE BY FEMA ZONE ($/yr)</t>
  </si>
  <si>
    <t xml:space="preserve">$/yr</t>
  </si>
  <si>
    <t xml:space="preserve">X</t>
  </si>
  <si>
    <t xml:space="preserve">Citizens requires flood on all wind policies by 1/1/2027, including X zones.</t>
  </si>
  <si>
    <t xml:space="preserve">AE</t>
  </si>
  <si>
    <t xml:space="preserve">NFIP Risk Rating 2.0 est.; elevation certificate drives price.</t>
  </si>
  <si>
    <t xml:space="preserve">VE</t>
  </si>
  <si>
    <t xml:space="preserve">Coastal high-hazard; avoid for this buyer.</t>
  </si>
  <si>
    <t xml:space="preserve">Unknown</t>
  </si>
  <si>
    <t xml:space="preserve">Placeholder until FEMA zone verified.</t>
  </si>
  <si>
    <t xml:space="preserve">BY COUNTY: PROPERTY TAX (% of price, non-homestead) + BASE INSURANCE</t>
  </si>
  <si>
    <t xml:space="preserve">Tax rate</t>
  </si>
  <si>
    <t xml:space="preserve">Base ins. $/yr</t>
  </si>
  <si>
    <t xml:space="preserve">Manatee</t>
  </si>
  <si>
    <t xml:space="preserve">Unincorporated ~13.3 mills (2025) + city + non-ad valorem; reset to purchase price.</t>
  </si>
  <si>
    <t xml:space="preserve">Sarasota</t>
  </si>
  <si>
    <t xml:space="preserve">11.47 mills countywide (2025); City of Sarasota ~14.9 mills.</t>
  </si>
  <si>
    <t xml:space="preserve">Beach towns ~15.8-16.6 mills (2025) + non-ad valorem; ~1.4-1.7% of price est.</t>
  </si>
  <si>
    <t xml:space="preserve">Lee</t>
  </si>
  <si>
    <t xml:space="preserve">Placeholder: Cape Coral/Fort Myers ~16-19 mills; North Cape utility assessments extra (~$3.4k/yr).</t>
  </si>
  <si>
    <t xml:space="preserve">Charlotte</t>
  </si>
  <si>
    <t xml:space="preserve">Placeholder.</t>
  </si>
  <si>
    <t xml:space="preserve">Collier</t>
  </si>
  <si>
    <t xml:space="preserve">Placeholder: lowest millage on the coast; ~1.4-1.5% incl. non-ad valorem.</t>
  </si>
  <si>
    <t xml:space="preserve">Monroe</t>
  </si>
  <si>
    <t xml:space="preserve">Keys: ~7.9-9.0 mills (2026) -&gt; 0.70-0.90% of price + $800-1,200/yr non-ad valorem (solid waste, wastewater). Base ins. = wind + non-wind STR policy for an elevated CBS house; flood by zone on top (~$12.5k AE total). Ground-level pre-FIRM: override ~$20k+. Condos: per-row HO-6 override.</t>
  </si>
  <si>
    <t xml:space="preserve">OPERATING PROFILE</t>
  </si>
  <si>
    <t xml:space="preserve">Mgmt</t>
  </si>
  <si>
    <t xml:space="preserve">Platform</t>
  </si>
  <si>
    <t xml:space="preserve">Cleaning</t>
  </si>
  <si>
    <t xml:space="preserve">Maint/Supplies</t>
  </si>
  <si>
    <t xml:space="preserve">CapEx</t>
  </si>
  <si>
    <t xml:space="preserve">Non-mgmt total</t>
  </si>
  <si>
    <t xml:space="preserve">STR</t>
  </si>
  <si>
    <t xml:space="preserve">Nightly/weekly. Full-service PM 18-30% locally; Airbnb host-only fee 15.5% (blended 10%); cleaning = 0: passed through to guests as a cleaning fee. Use gross EXCLUDING guest-paid cleaning fees.</t>
  </si>
  <si>
    <t xml:space="preserve">Seasonal</t>
  </si>
  <si>
    <t xml:space="preserve">30-day+ furnished (snowbird Jan-Apr, travel nurses, insurance displacement). Fewer turns.</t>
  </si>
  <si>
    <t xml:space="preserve">FIXED OPERATING COSTS ($/yr)</t>
  </si>
  <si>
    <t xml:space="preserve">Utilities (power, water, internet, streaming)</t>
  </si>
  <si>
    <t xml:space="preserve">Owner-paid in furnished rentals.</t>
  </si>
  <si>
    <t xml:space="preserve">Pool + lawn + pest (with pool)</t>
  </si>
  <si>
    <t xml:space="preserve">Lawn + pest (no pool)</t>
  </si>
  <si>
    <t xml:space="preserve">Manatee + Sarasota County: STR / Seasonal Candidates with Documented Income</t>
  </si>
  <si>
    <t xml:space="preserve">Active as of 2026-10-18. Screened ~600 listings across Zillow (14 keyword sweeps), Redfin, brokerages and STR marketplaces. Yellow rows = recommended.</t>
  </si>
  <si>
    <t xml:space="preserve">Edit blue cells (Offer Price, Seller Credit %, Down Pmt %, Income, Flood Zone, Ins Override) to rerun. Ins Override (blank = county base + flood) is for condos with master wind/flood policies. Qualify on DSCR (lender haircut) &gt;= 1.00; &gt;= 1.15 preferred. Income is seller-stated until verified with platform payout reports.</t>
  </si>
  <si>
    <t xml:space="preserve">Rank</t>
  </si>
  <si>
    <t xml:space="preserve">County</t>
  </si>
  <si>
    <t xml:space="preserve">Type</t>
  </si>
  <si>
    <t xml:space="preserve">Bd/Ba/SqFt/Yr</t>
  </si>
  <si>
    <t xml:space="preserve">List Price</t>
  </si>
  <si>
    <t xml:space="preserve">Seller Credit %</t>
  </si>
  <si>
    <t xml:space="preserve">Down Pmt %</t>
  </si>
  <si>
    <t xml:space="preserve">Stated Gross Income ($/yr)</t>
  </si>
  <si>
    <t xml:space="preserve">Income Basis (seller-stated)</t>
  </si>
  <si>
    <t xml:space="preserve">Flood Zone</t>
  </si>
  <si>
    <t xml:space="preserve">Pool</t>
  </si>
  <si>
    <t xml:space="preserve">HOA ($/mo)</t>
  </si>
  <si>
    <t xml:space="preserve">Ins Override ($/yr)</t>
  </si>
  <si>
    <t xml:space="preserve">Profile</t>
  </si>
  <si>
    <t xml:space="preserve">Loan Amount</t>
  </si>
  <si>
    <t xml:space="preserve">Rate</t>
  </si>
  <si>
    <t xml:space="preserve">P&amp;I ($/mo)</t>
  </si>
  <si>
    <t xml:space="preserve">Taxes ($/mo)</t>
  </si>
  <si>
    <t xml:space="preserve">Ins + Flood ($/mo)</t>
  </si>
  <si>
    <t xml:space="preserve">Reserves (6 mo)</t>
  </si>
  <si>
    <t xml:space="preserve">Opex excl. Mgmt ($/yr)</t>
  </si>
  <si>
    <t xml:space="preserve">Mgmt ($/yr)</t>
  </si>
  <si>
    <t xml:space="preserve">Gross Yield</t>
  </si>
  <si>
    <t xml:space="preserve">Cap Rate (w/ PM)</t>
  </si>
  <si>
    <t xml:space="preserve">Last Sale</t>
  </si>
  <si>
    <t xml:space="preserve">DOM</t>
  </si>
  <si>
    <t xml:space="preserve">Key Risks / Notes</t>
  </si>
  <si>
    <t xml:space="preserve">Listing Link</t>
  </si>
  <si>
    <t xml:space="preserve">8404 43rd Ave Terrace W</t>
  </si>
  <si>
    <t xml:space="preserve">Bradenton 34209</t>
  </si>
  <si>
    <t xml:space="preserve">SFR</t>
  </si>
  <si>
    <t xml:space="preserve">4/2 / 1,430 / 1978</t>
  </si>
  <si>
    <t xml:space="preserve">"almost $85,000 in gross revenue over the past 12 months" (T12)</t>
  </si>
  <si>
    <t xml:space="preserve">Y</t>
  </si>
  <si>
    <t xml:space="preserve">$595,000 (Aug 2023)</t>
  </si>
  <si>
    <t xml:space="preserve">Heated pool + spa, no HOA, turnkey; full 2021 reno (roof/HVAC/windows/plumbing/electric). First Street flood 7/10; neighbor parcel AE/X: get FEMA zone + elevation cert + CLUE. Featured in national STR newsletter 9/29: move fast. Uninc. Manatee: nightly legal.</t>
  </si>
  <si>
    <t xml:space="preserve">Zillow</t>
  </si>
  <si>
    <t xml:space="preserve">5318 17th St W (duplex)</t>
  </si>
  <si>
    <t xml:space="preserve">Bradenton 34207</t>
  </si>
  <si>
    <t xml:space="preserve">Duplex</t>
  </si>
  <si>
    <t xml:space="preserve">2 units / 1,740 / 1971</t>
  </si>
  <si>
    <t xml:space="preserve">Unit B Airbnb "over $53,000 in 2025" + Unit A LTR (est. ~$20k/yr; rent not stated)</t>
  </si>
  <si>
    <t xml:space="preserve">N</t>
  </si>
  <si>
    <t xml:space="preserve">$420,000 (Apr 2024)</t>
  </si>
  <si>
    <t xml:space="preserve">Zoned RSF-6 and listed as SFR: confirm legal nonconforming duplex. Confirm lender blends STR + LTR income. Opex model applies STR costs to all income (conservative).</t>
  </si>
  <si>
    <t xml:space="preserve">2801 23rd Ave W ("Beachin' Escape")</t>
  </si>
  <si>
    <t xml:space="preserve">Bradenton 34205</t>
  </si>
  <si>
    <t xml:space="preserve">4/2 / 1,906 (PR 1,564) / 1968</t>
  </si>
  <si>
    <t xml:space="preserve">"$89,000 gross vacation-rental revenue in 2025"; "$91,500 in booked 2026 revenue"</t>
  </si>
  <si>
    <t xml:space="preserve">$474,000 (Mar 2024)</t>
  </si>
  <si>
    <t xml:space="preserve">Strongest track record. Appraisal risk: +36% vs 2024 purchase; public record 1,564 sf vs 1,906 marketed (possible unpermitted space); contract fell through 9/27-9/29: ask why. Listed by Locals Property Mgmt.</t>
  </si>
  <si>
    <t xml:space="preserve">2245 Bahia Vista St (duplex)</t>
  </si>
  <si>
    <t xml:space="preserve">Sarasota 34239</t>
  </si>
  <si>
    <t xml:space="preserve">2/1 + 1/1 / 1,652 / 1936</t>
  </si>
  <si>
    <t xml:space="preserve">"currently generates more than $60,000 annually"; income + expenses available</t>
  </si>
  <si>
    <t xml:space="preserve">Listed $545k (May 2025) -&gt; $475k</t>
  </si>
  <si>
    <t xml:space="preserve">City of Sarasota 7-night minimum + annual registration/inspection. 1936 build: 4-point/insurance risk. 2025 roof. Land-value upside.</t>
  </si>
  <si>
    <t xml:space="preserve">1415 36th St W ("Bamboo Lagoon")</t>
  </si>
  <si>
    <t xml:space="preserve">3/2 / 1,176 / 1972</t>
  </si>
  <si>
    <t xml:space="preserve">"$45,200 gross revenue YTD at 86% occupancy"; 4.99 stars / 82 reviews; bookings convey</t>
  </si>
  <si>
    <t xml:space="preserve">$349,000 (Dec 2024)</t>
  </si>
  <si>
    <t xml:space="preserve">Appraisal risk: +36% vs Dec 2024 purchase. Pool likely added after purchase.</t>
  </si>
  <si>
    <t xml:space="preserve">3409 18th Avenue Dr W</t>
  </si>
  <si>
    <t xml:space="preserve">3/2 / 1,644 / 1971</t>
  </si>
  <si>
    <t xml:space="preserve">"over $53,000 in bookings so far this year"</t>
  </si>
  <si>
    <t xml:space="preserve">$525,000 (Jun 2024)</t>
  </si>
  <si>
    <t xml:space="preserve">Two price cuts ($550k -&gt; $529k). Roof 2024. City of Bradenton zoning (R1C): STR certificate required.</t>
  </si>
  <si>
    <t xml:space="preserve">2142 Waldemere St</t>
  </si>
  <si>
    <t xml:space="preserve">3/2 / 1,170 / 1952</t>
  </si>
  <si>
    <t xml:space="preserve">"$50,157 gross rental revenue in 2025 and $55,323 in 2024"; Jan-Apr ~$8k/mo</t>
  </si>
  <si>
    <t xml:space="preserve">$440,000 (Jun 2023)</t>
  </si>
  <si>
    <t xml:space="preserve">City 7-night min. "Previously operated": confirm still active. Sold as-is; metal roof 2026.</t>
  </si>
  <si>
    <t xml:space="preserve">7405 12th Ave W</t>
  </si>
  <si>
    <t xml:space="preserve">2/2 / 1,469 / 1973</t>
  </si>
  <si>
    <t xml:space="preserve">"just under a year... nearly $45,000 in rental income"</t>
  </si>
  <si>
    <t xml:space="preserve">$75,000 (2016)</t>
  </si>
  <si>
    <t xml:space="preserve">&lt;12 months history; 2BR. Solar 'majority owned': check lien on remainder.</t>
  </si>
  <si>
    <t xml:space="preserve">2705 2nd Ave W</t>
  </si>
  <si>
    <t xml:space="preserve">2/1 / 1,198 / 1925</t>
  </si>
  <si>
    <t xml:space="preserve">"currently brings in $40K/year in gross income"</t>
  </si>
  <si>
    <t xml:space="preserve">$240,000 (May 2021)</t>
  </si>
  <si>
    <t xml:space="preserve">377 cumulative DOM: very negotiable. 1BA, 1925: insurance. City of Bradenton certificate.</t>
  </si>
  <si>
    <t xml:space="preserve">4711 Hollingsworth Ave (3 units)</t>
  </si>
  <si>
    <t xml:space="preserve">Sarasota 34233</t>
  </si>
  <si>
    <t xml:space="preserve">Triplex</t>
  </si>
  <si>
    <t xml:space="preserve">3 furnished units / 1,696 / 1981</t>
  </si>
  <si>
    <t xml:space="preserve">"averaging approximately $102,000 in annual revenue during 2024-2025"; OM available</t>
  </si>
  <si>
    <t xml:space="preserve">$350,000 (Feb 2022)</t>
  </si>
  <si>
    <t xml:space="preserve">Unincorporated Sarasota County: &lt;30-day banned in this zoning -&gt; 30-day+ model. Zestimate ~$325k: will NOT appraise for DSCR. Seller financing offered: pursue only on seller terms.</t>
  </si>
  <si>
    <t xml:space="preserve">4440 47th Ave W #102 (Shorewalk condo)</t>
  </si>
  <si>
    <t xml:space="preserve">Bradenton 34210</t>
  </si>
  <si>
    <t xml:space="preserve">Condo</t>
  </si>
  <si>
    <t xml:space="preserve">2/2 / 1,174 / 1989</t>
  </si>
  <si>
    <t xml:space="preserve">"Gross rental earnings for January-June are $29,300"; 4.96 stars</t>
  </si>
  <si>
    <t xml:space="preserve">Cheapest entry. Shorewalk rental pool may be underwritten as condotel/non-warrantable (75% LTV, fewer lenders).</t>
  </si>
  <si>
    <t xml:space="preserve">539 Forest Way (Cedars East, LBK)</t>
  </si>
  <si>
    <t xml:space="preserve">Longboat Key 34228</t>
  </si>
  <si>
    <t xml:space="preserve">Townhome</t>
  </si>
  <si>
    <t xml:space="preserve">2/2.5 / 1,440 / 1990</t>
  </si>
  <si>
    <t xml:space="preserve">"~$50,000 average annual rental payout revenue, after Airbnb and VRBO fees"</t>
  </si>
  <si>
    <t xml:space="preserve">Shown as a reject example: $945/mo HOA + max 26 rentals/yr kills DSCR.</t>
  </si>
  <si>
    <t xml:space="preserve">Operating STRs with no $ in listing: request T12 payouts (could become candidates)</t>
  </si>
  <si>
    <t xml:space="preserve">Price</t>
  </si>
  <si>
    <t xml:space="preserve">Evidence (no $ in listing)</t>
  </si>
  <si>
    <t xml:space="preserve">Ask agent for</t>
  </si>
  <si>
    <t xml:space="preserve">Link</t>
  </si>
  <si>
    <t xml:space="preserve">8403 13th Ave NW</t>
  </si>
  <si>
    <t xml:space="preserve">"highly successful, income-generating VRBO"; no rental restrictions; outside flood zone; 147 DOM, 3 cuts</t>
  </si>
  <si>
    <t xml:space="preserve">T12 payout reports + TDT filings</t>
  </si>
  <si>
    <t xml:space="preserve">926 Plum Tree Ln</t>
  </si>
  <si>
    <t xml:space="preserve">Sarasota 34243 (Manatee Co.)</t>
  </si>
  <si>
    <t xml:space="preserve">"active, successful vacation rental with daily rentals allowed"; no HOA</t>
  </si>
  <si>
    <t xml:space="preserve">2714 42nd St W</t>
  </si>
  <si>
    <t xml:space="preserve">4BR pool; "currently operating as a successful short-term rental"</t>
  </si>
  <si>
    <t xml:space="preserve">120 60th St W</t>
  </si>
  <si>
    <t xml:space="preserve">"proven rental history available upon request"; 7 price cuts ($549k -&gt; $450k)</t>
  </si>
  <si>
    <t xml:space="preserve">1214 21st St W</t>
  </si>
  <si>
    <t xml:space="preserve">"ESTABLISHED SUCCESSFUL SHORT-TERM RENTAL"; salt pool + spa; impact windows</t>
  </si>
  <si>
    <t xml:space="preserve">6215 Rodgers Ave</t>
  </si>
  <si>
    <t xml:space="preserve">Sarasota 34231</t>
  </si>
  <si>
    <t xml:space="preserve">"proven Airbnb performer"; near Siesta; 291 DOM. County 30-day rule applies -&gt; seasonal only</t>
  </si>
  <si>
    <t xml:space="preserve">1664 Lakeview Pl</t>
  </si>
  <si>
    <t xml:space="preserve">Englewood 34223</t>
  </si>
  <si>
    <t xml:space="preserve">"proven vacation rental", pool, 1-month minimum (seasonal model)</t>
  </si>
  <si>
    <t xml:space="preserve">Pinellas County: STR / Seasonal Candidates with Documented Income</t>
  </si>
  <si>
    <t xml:space="preserve">Active as of 2026-10-18. Same method: Zillow keyword sweeps with full remarks + jurisdiction rules.</t>
  </si>
  <si>
    <t xml:space="preserve">12565 81st Ave</t>
  </si>
  <si>
    <t xml:space="preserve">Seminole 33776</t>
  </si>
  <si>
    <t xml:space="preserve">3/2 / 1,306 / 1960</t>
  </si>
  <si>
    <t xml:space="preserve">"approximately $71,000 in estimated annual revenue, 66% average occupancy, $252 ADR"; Airbnb since 2022</t>
  </si>
  <si>
    <t xml:space="preserve">Heated pool, furnished, 'city-approved STR license' (City of Seminole: confirm rules + transfer). Best Pinellas house found. Inland: ~10-15 min to Madeira/Indian Rocks beaches.</t>
  </si>
  <si>
    <t xml:space="preserve">4000 46th St N</t>
  </si>
  <si>
    <t xml:space="preserve">St Petersburg 33714</t>
  </si>
  <si>
    <t xml:space="preserve">4/2 / 1,579 / 1936</t>
  </si>
  <si>
    <t xml:space="preserve">"already on pace to do over $85k of Gross Income in it's first full year as a short term rental"</t>
  </si>
  <si>
    <t xml:space="preserve">Heated pool + spa, 4BR. 33714 straddles City of St. Pete (30-day rule) and unincorporated Lealman (legal w/ Certificate of Use): CONFIRM jurisdiction first. 1936 build: insurance. Low current tax will reset.</t>
  </si>
  <si>
    <t xml:space="preserve">341 Wertz Dr</t>
  </si>
  <si>
    <t xml:space="preserve">Largo 33771</t>
  </si>
  <si>
    <t xml:space="preserve">3/2 / 1,038 / 1961</t>
  </si>
  <si>
    <t xml:space="preserve">"over $51,000 in revenue in the 12 months leading up to the hurricanes" (pre-Oct 2024)</t>
  </si>
  <si>
    <t xml:space="preserve">STR paused since 2024 storms (new roof Apr 2025): lender may not accept 2-yr-old history. Largo: STR legal. 257 DOM: negotiable.</t>
  </si>
  <si>
    <t xml:space="preserve">15305 1st St E #305 (condo)</t>
  </si>
  <si>
    <t xml:space="preserve">Madeira Beach 33708</t>
  </si>
  <si>
    <t xml:space="preserve">3/3 / 1,440 / 2020</t>
  </si>
  <si>
    <t xml:space="preserve">"$75K in gross rental revenue in 2025 and already over $60K generated year-to-date in 2026"</t>
  </si>
  <si>
    <t xml:space="preserve">Best-documented Pinellas income. 2020 building (lower SB 4-D assessment risk). Confirm Madeira zoning allows &lt;30-day and condo DSCR warrantability.</t>
  </si>
  <si>
    <t xml:space="preserve">13235 Gulf Blvd #502 (Madeira Bay Resort)</t>
  </si>
  <si>
    <t xml:space="preserve">2/2 / 734 / 2006</t>
  </si>
  <si>
    <t xml:space="preserve">"Last year's gross rents were $59K"</t>
  </si>
  <si>
    <t xml:space="preserve">Resort with 24/7 guest services = condotel review: most DSCR lenders decline or cap at 60-70% LTV.</t>
  </si>
  <si>
    <t xml:space="preserve">17960 Gulf Blvd #121 (townhome)</t>
  </si>
  <si>
    <t xml:space="preserve">Redington Shores 33708</t>
  </si>
  <si>
    <t xml:space="preserve">2/2.5 / 1,237 / 1989</t>
  </si>
  <si>
    <t xml:space="preserve">"$47,890 IN REVENUE ALREADY BOOKED FOR 2027"; $20k+ Feb-May 2026; 30-day minimum</t>
  </si>
  <si>
    <t xml:space="preserve">Gulf-front, 30-day minimum (seasonal model). VE flood + $835 HOA kill DSCR.</t>
  </si>
  <si>
    <t xml:space="preserve">1904 Gulf Blvd #D (condo)</t>
  </si>
  <si>
    <t xml:space="preserve">Indian Rocks Beach 33785</t>
  </si>
  <si>
    <t xml:space="preserve">2/2 / 1,135 / 1997</t>
  </si>
  <si>
    <t xml:space="preserve">"averaged approximately $50,000 annually in gross rental revenue since 2023"; weekly rentals</t>
  </si>
  <si>
    <t xml:space="preserve">Shown as a reject example: $1,325/mo HOA.</t>
  </si>
  <si>
    <t xml:space="preserve">Pinellas operating STRs with history on request (legal zones): request T12 payouts + Certificate of Use</t>
  </si>
  <si>
    <t xml:space="preserve">9542 Oakhurst Rd</t>
  </si>
  <si>
    <t xml:space="preserve">Seminole 33776 (unincorporated)</t>
  </si>
  <si>
    <t xml:space="preserve">4/3 heated pool; "no length and duration limits"; 3 yrs Airbnb/VRBO history on request; STR insurance quote $4,353</t>
  </si>
  <si>
    <t xml:space="preserve">6400 Pelican Dr S</t>
  </si>
  <si>
    <t xml:space="preserve">St Petersburg 33707 (outside city limits)</t>
  </si>
  <si>
    <t xml:space="preserve">3/2 heated pool; "STR history and revenue information available upon request"; 122 DOM</t>
  </si>
  <si>
    <t xml:space="preserve">7957 Cottonwoode Dr</t>
  </si>
  <si>
    <t xml:space="preserve">Largo 33773</t>
  </si>
  <si>
    <t xml:space="preserve">3/2 pool; "documented Airbnb performance and booking history available"</t>
  </si>
  <si>
    <t xml:space="preserve">8253 137th Ln</t>
  </si>
  <si>
    <t xml:space="preserve">3/2 pool; Airbnb past year with strong performance</t>
  </si>
  <si>
    <t xml:space="preserve">4986 Woodland Dr</t>
  </si>
  <si>
    <t xml:space="preserve">St Petersburg 33708</t>
  </si>
  <si>
    <t xml:space="preserve">2/2 pool; "ACTIVE Short-Term RENTAL"; "NO RENTAL RESTRICTIONS" (verify jurisdiction)</t>
  </si>
  <si>
    <t xml:space="preserve">9370 83rd St</t>
  </si>
  <si>
    <t xml:space="preserve">Seminole 33777</t>
  </si>
  <si>
    <t xml:space="preserve">3/2 pool; operating furnished Airbnb; furniture extra</t>
  </si>
  <si>
    <t xml:space="preserve">166 Pinellas Way N</t>
  </si>
  <si>
    <t xml:space="preserve">St Petersburg 33710</t>
  </si>
  <si>
    <t xml:space="preserve">Pool + spa; history on request. Likely City of St. Pete (30-day rule): verify before pursuing</t>
  </si>
  <si>
    <t xml:space="preserve">14626 Wildwood Dr</t>
  </si>
  <si>
    <t xml:space="preserve">Largo 33774 (unincorporated)</t>
  </si>
  <si>
    <t xml:space="preserve">4/2 pool; "Currently operating as an AIRBNB"</t>
  </si>
  <si>
    <t xml:space="preserve">1600 Loretta Ave NW</t>
  </si>
  <si>
    <t xml:space="preserve">Largo 33770</t>
  </si>
  <si>
    <t xml:space="preserve">3/2 heated pool + spa, furnished; "registered with the city of Largo as a short term rental"</t>
  </si>
  <si>
    <t xml:space="preserve">863 Bay Breeze Ter</t>
  </si>
  <si>
    <t xml:space="preserve">3/2 pool; "INCOME-PRODUCING VRBO"; "NO RENTAL RESTRICTIONS"</t>
  </si>
  <si>
    <t xml:space="preserve">8628 Magnolia Dr</t>
  </si>
  <si>
    <t xml:space="preserve">4/2 pool; "currently operating as a short-term rental"; verify license transferability</t>
  </si>
  <si>
    <t xml:space="preserve">839 3rd St N</t>
  </si>
  <si>
    <t xml:space="preserve">Safety Harbor 34695</t>
  </si>
  <si>
    <t xml:space="preserve">8-yr vacation rental, hundreds of 5-star reviews; "detailed financials are available on request"; 2/2 small</t>
  </si>
  <si>
    <t xml:space="preserve">505 N Highland Ave</t>
  </si>
  <si>
    <t xml:space="preserve">Clearwater 33755</t>
  </si>
  <si>
    <t xml:space="preserve">4/3 heated pool; "OPERATED AS A VACATION RENTAL, REPORTS AVAILABLE". City of Clearwater residential = 31-day min: verify</t>
  </si>
  <si>
    <t xml:space="preserve">414 Tampa Rd (Ozona)</t>
  </si>
  <si>
    <t xml:space="preserve">Palm Harbor 34683</t>
  </si>
  <si>
    <t xml:space="preserve">2020-2026 rental history + 2027 bookings on request; listing gives $46k projection (not actual)</t>
  </si>
  <si>
    <t xml:space="preserve">Lee / Charlotte / Collier: Listings with Stated Rental Income</t>
  </si>
  <si>
    <t xml:space="preserve">Active as of 2026-10-18. 3 Zillow sweeps (~257 unique listings) before the Apify usage cap; documented income is thin outside Cape Coral. See 'Other SWFL Markets' for the market ranking.</t>
  </si>
  <si>
    <t xml:space="preserve">326 NW 21st Ter</t>
  </si>
  <si>
    <t xml:space="preserve">Cape Coral 33993</t>
  </si>
  <si>
    <t xml:space="preserve">3/2 / 1,734 / 2023</t>
  </si>
  <si>
    <t xml:space="preserve">"generated over $60,000 in annual rental revenue"</t>
  </si>
  <si>
    <t xml:space="preserve">Only SWFL listing clearing DSCR after haircut. NW Cape = inland, ~30+ min to beach. Check North Cape utility assessment (~$32k/lot, ~$3.4k/yr). Cape Coral STR registration $350/yr.</t>
  </si>
  <si>
    <t xml:space="preserve">370 Townhouse Ln #65 (North Captiva)</t>
  </si>
  <si>
    <t xml:space="preserve">Captiva 33924</t>
  </si>
  <si>
    <t xml:space="preserve">3/2 / 979 / 1985</t>
  </si>
  <si>
    <t xml:space="preserve">"established in a successful vacation rental program with $60,000+ in annual rental income"</t>
  </si>
  <si>
    <t xml:space="preserve">Boat-access-only island: financing/insurance hard. Rental program = condotel-style review.</t>
  </si>
  <si>
    <t xml:space="preserve">10345 Longshore Rd #31</t>
  </si>
  <si>
    <t xml:space="preserve">Placida 33946</t>
  </si>
  <si>
    <t xml:space="preserve">3/3 / 2,416 / 2020</t>
  </si>
  <si>
    <t xml:space="preserve">"annual short term rental with same family 12/1-4/15 generating rental income of $29,250"</t>
  </si>
  <si>
    <t xml:space="preserve">One seasonal tenant only; rest of year unbooked. Shown as a weak example.</t>
  </si>
  <si>
    <t xml:space="preserve">Operating STRs with history on request: Cape Coral Gulf-access + Charlotte Harbor (request T12)</t>
  </si>
  <si>
    <t xml:space="preserve">930 SW 37th Ter (PropertyRadar find)</t>
  </si>
  <si>
    <t xml:space="preserve">Cape Coral 33914</t>
  </si>
  <si>
    <t xml:space="preserve">2024 remarks: 'successful vacation rental'; on FL DBPR vacation-rental license list; 3/2 heated pool + spa, 2008, zone X, ~400 DOM. Not Gulf access. Needs ~$49k gross for DSCR 1.00 at list, 25% down.</t>
  </si>
  <si>
    <t xml:space="preserve">T12 payouts + license status; why it didn't sell at $400k</t>
  </si>
  <si>
    <t xml:space="preserve">Redfin</t>
  </si>
  <si>
    <t xml:space="preserve">2712 SW 4th Pl</t>
  </si>
  <si>
    <t xml:space="preserve">Pool, 2020 build; Feb 1-Mar 31 2027 booking (59 nights) + Nov 2026 booking transfer</t>
  </si>
  <si>
    <t xml:space="preserve">1433 SE 28th Ter</t>
  </si>
  <si>
    <t xml:space="preserve">Cape Coral 33904</t>
  </si>
  <si>
    <t xml:space="preserve">Airbnb Guest Favorite 4.93 stars; Gulf access; solar-heated pool</t>
  </si>
  <si>
    <t xml:space="preserve">4928 SW 1st Ct</t>
  </si>
  <si>
    <t xml:space="preserve">"proven income stream through Airbnb and VRBO"; direct Gulf access; 2BR; 424 DOM</t>
  </si>
  <si>
    <t xml:space="preserve">2917 SW Santa Barbara Pl (duplex)</t>
  </si>
  <si>
    <t xml:space="preserve">2024 duplex, 2x 3/2+den, "PROVEN AIRBNB RENTAL HISTORY", Guest Favorite; motivated seller</t>
  </si>
  <si>
    <t xml:space="preserve">3106 SE 8th Pl</t>
  </si>
  <si>
    <t xml:space="preserve">Pool, furnished, future rentals in place</t>
  </si>
  <si>
    <t xml:space="preserve">1768 Whiskey Creek Dr</t>
  </si>
  <si>
    <t xml:space="preserve">Fort Myers 33919</t>
  </si>
  <si>
    <t xml:space="preserve">"rental income information available upon request"; seller offering rate buydown</t>
  </si>
  <si>
    <t xml:space="preserve">951 Lassino Ct</t>
  </si>
  <si>
    <t xml:space="preserve">Punta Gorda 33950</t>
  </si>
  <si>
    <t xml:space="preserve">Punta Gorda Isles pool home; ~2 yrs history, reviews and accounts may transfer; check deed restrictions</t>
  </si>
  <si>
    <t xml:space="preserve">9277 Saint Catherine Ave</t>
  </si>
  <si>
    <t xml:space="preserve">Englewood 34224 (Charlotte)</t>
  </si>
  <si>
    <t xml:space="preserve">Pool, furnished; spring reservations may transfer; ~6 mi to beach</t>
  </si>
  <si>
    <t xml:space="preserve">59 Wickliffe Dr</t>
  </si>
  <si>
    <t xml:space="preserve">Naples 34110</t>
  </si>
  <si>
    <t xml:space="preserve">"$29k in future bookings on Airbnb" (forward only); unincorporated Collier</t>
  </si>
  <si>
    <t xml:space="preserve">Monroe County (Florida Keys): Licensed Rentals with Stated Income</t>
  </si>
  <si>
    <t xml:space="preserve">As of 2026-10-18. Web-search sweep only (Zillow scraper capped): ~85 searches across Zillow/Redfin/brokerage IDX snippets. Under $950k, documented-income inventory is almost entirely condos in a few STR-legal complexes.</t>
  </si>
  <si>
    <t xml:space="preserve">1500 Ocean Bay Dr #E5 (Kawama Yacht Club)</t>
  </si>
  <si>
    <t xml:space="preserve">Key Largo 33037</t>
  </si>
  <si>
    <t xml:space="preserve">2/2 / 766 / n/s</t>
  </si>
  <si>
    <t xml:space="preserve">"currently generating rental income of $98,980 yearly"; "can be rented daily-nightly"</t>
  </si>
  <si>
    <t xml:space="preserve">Best-documented Keys income in range (12.5% gross yield). Stretch price: 25% down = ~$220k cash. Kawama is one of few Key Largo complexes allowing nightly stays. Condo questionnaire + non-warrantable review.</t>
  </si>
  <si>
    <t xml:space="preserve">500 Burton Dr #2212 (Ocean Pointe)</t>
  </si>
  <si>
    <t xml:space="preserve">Tavernier 33070</t>
  </si>
  <si>
    <t xml:space="preserve">2/2 / ~826 / 1991</t>
  </si>
  <si>
    <t xml:space="preserve">"an impressive average of $100,000 per year in rental income"; "$48,000 net income from Jan-April 2026"</t>
  </si>
  <si>
    <t xml:space="preserve">$560,000 (Nov 2024)</t>
  </si>
  <si>
    <t xml:space="preserve">Ocean Pointe allows very short-term rentals (rare in the Upper Keys). $46k price drop. Bought for $560k in Nov 2024: appraisal risk at $650k. HOA ~$1,448/mo (quarterly $4,344).</t>
  </si>
  <si>
    <t xml:space="preserve">500 Burton Dr #3308 (Ocean Pointe)</t>
  </si>
  <si>
    <t xml:space="preserve">2/2 / 841 / 1991</t>
  </si>
  <si>
    <t xml:space="preserve">"grossed $57,987.66 in 2025, with the owners using it all month in February"</t>
  </si>
  <si>
    <t xml:space="preserve">Owner used peak month (Feb): true rental capacity higher. Possibly stale listing: confirm active.</t>
  </si>
  <si>
    <t xml:space="preserve">500 Burton Dr #4211 (Ocean Pointe, oceanfront)</t>
  </si>
  <si>
    <t xml:space="preserve">2/2 / n/s / 1991</t>
  </si>
  <si>
    <t xml:space="preserve">"Grossed $29,319.00 in the first 6 months of 2026"</t>
  </si>
  <si>
    <t xml:space="preserve">Price shown $659k-$699k across sites (midpoint used).</t>
  </si>
  <si>
    <t xml:space="preserve">8302 Marina Villas Dr (Hawks Cay)</t>
  </si>
  <si>
    <t xml:space="preserve">Duck Key 33050</t>
  </si>
  <si>
    <t xml:space="preserve">3/2 / 1,364 / n/s</t>
  </si>
  <si>
    <t xml:space="preserve">"rental income for 2025 was over $100,000 for the year"; listed on VRBO</t>
  </si>
  <si>
    <t xml:space="preserve">Listed $1.495M (May 2023)</t>
  </si>
  <si>
    <t xml:space="preserve">Hawks Cay resort = condotel review (fewer DSCR lenders, 25-35% down). Duck Key is unincorporated county: confirm permit/exemption. Also offered for rent at $8k/mo.</t>
  </si>
  <si>
    <t xml:space="preserve">500 Burton Dr #1402 (Ocean Pointe)</t>
  </si>
  <si>
    <t xml:space="preserve">2/2 / 816 / 1991</t>
  </si>
  <si>
    <t xml:space="preserve">"grossed $26,900.07 1/1/2026 through 8/20/2026 with owners and friends using it as well"</t>
  </si>
  <si>
    <t xml:space="preserve">Shown as the low end: heavy owner use; HOA load kills DSCR at this income.</t>
  </si>
  <si>
    <t xml:space="preserve">Keys: licensed/STR-legal units for sale with history on request (verify license + get T12)</t>
  </si>
  <si>
    <t xml:space="preserve">1500 Ocean Bay Dr #A1 (Kawama)</t>
  </si>
  <si>
    <t xml:space="preserve">2/2, 990 sf; "one of the few properties in Key Largo that allows nightly Rentals"</t>
  </si>
  <si>
    <t xml:space="preserve">Listing</t>
  </si>
  <si>
    <t xml:space="preserve">104350 Overseas Hwy #A204 (Moon Bay)</t>
  </si>
  <si>
    <t xml:space="preserve">"Weekly Rentals ALLOWED"; "Rental history is available upon request"; HOA $959/mo</t>
  </si>
  <si>
    <t xml:space="preserve">500 Burton Dr #2202 (Ocean Pointe)</t>
  </si>
  <si>
    <t xml:space="preserve">2/2, 826 sf; "proven history of successful short-term rentals"; listed 7/22/2026</t>
  </si>
  <si>
    <t xml:space="preserve">8204 Marina Villas Dr (Hawks Cay)</t>
  </si>
  <si>
    <t xml:space="preserve">2/2, 1,414 sf; "approved as turnkey for the resort rental program"; condotel review</t>
  </si>
  <si>
    <t xml:space="preserve">201 E Ocean Dr #312 (Casa Clara)</t>
  </si>
  <si>
    <t xml:space="preserve">Key Colony Beach 33051</t>
  </si>
  <si>
    <t xml:space="preserve">2/2, 1,029 sf; 14-day rentals; listed 10/9/2026; check HOA (shown $2,925 = quarterly?)</t>
  </si>
  <si>
    <t xml:space="preserve">3625 Seaside Dr #25410 (Sunrise Suites)</t>
  </si>
  <si>
    <t xml:space="preserve">Key West 33040</t>
  </si>
  <si>
    <t xml:space="preserve">2/2 "Transiently licensed"; HOA ~$905/mo; complex sales $775-860k (2022-25)</t>
  </si>
  <si>
    <t xml:space="preserve">320 Calzada de Bougainvillea</t>
  </si>
  <si>
    <t xml:space="preserve">Marathon 33050</t>
  </si>
  <si>
    <t xml:space="preserve">Over cap: 2/2 house, heated pool; "$116,000 in short-rental income in 2025"; $201k price cut</t>
  </si>
  <si>
    <t xml:space="preserve">Mariners Club #906</t>
  </si>
  <si>
    <t xml:space="preserve">Just over cap; daily rentals; "5 years of rental history on VRBO"; $45k equity membership</t>
  </si>
  <si>
    <t xml:space="preserve">Down Payment Scenarios: 20% vs 25% vs 30%</t>
  </si>
  <si>
    <t xml:space="preserve">Green cells pull offer price, credit, income, flood, pool, HOA and profile from the market tabs; rate tier follows LTV from Assumptions. Change a down % (blue) to test other levels.</t>
  </si>
  <si>
    <t xml:space="preserve">Property</t>
  </si>
  <si>
    <t xml:space="preserve">Down %</t>
  </si>
  <si>
    <t xml:space="preserve">Gross ($/yr)</t>
  </si>
  <si>
    <t xml:space="preserve">Loan</t>
  </si>
  <si>
    <t xml:space="preserve">DSCR (haircut)</t>
  </si>
  <si>
    <t xml:space="preserve">Cash In (down + closing - credit)</t>
  </si>
  <si>
    <t xml:space="preserve">Cash-on-Cash (self)</t>
  </si>
  <si>
    <t xml:space="preserve">Marginal Return on Extra Cash vs Prior Row</t>
  </si>
  <si>
    <t xml:space="preserve">-</t>
  </si>
  <si>
    <t xml:space="preserve">PropertyRadar Pull: Listed Absentee-Owned Homes, Required-Rent Screen</t>
  </si>
  <si>
    <t xml:space="preserve">As of 2026-10-19. PropertyRadar has no rental income, so the screen asks: what gross rent does this house need to hit DSCR 1.00 / 1.25 after the lender haircut, at list price and the default down payment? Required gross = PITIA x 12 x target / haircut. Compare to the market benchmark (blue, editable).</t>
  </si>
  <si>
    <t xml:space="preserve">Credits</t>
  </si>
  <si>
    <t xml:space="preserve">193 records purchased = 193 credits (1 record = 1 credit, confirmed on a 1-record test: the API's free-record counter fell 10,000 -&gt; 9,999; totalCost reported $0 because purchases draw from the account allowance). Session cap 250, so 57 left in reserve. Counts/previews (Purchase=0) are free. No owner contact add-ons bought.</t>
  </si>
  <si>
    <t xml:space="preserve">Criteria</t>
  </si>
  <si>
    <t xml:space="preserve">All tiers: active MLS listing (isListedForSale), list price $375k-$650k, PropertyRadar type SFR, 3+ beds (Pinellas: 1,200+ sf instead, because its public record has no bed counts), absentee owner (isSameMailingOrExempt = 0: mailing differs and no homestead), owned 18+ months (no recorded transfer in the last 548 days). Mobile homes flagged and excluded.</t>
  </si>
  <si>
    <t xml:space="preserve">T1 Manatee + Sarasota (108)</t>
  </si>
  <si>
    <t xml:space="preserve">Manatee beach ZIPs 34205/07/09/10/16/17/28 (13), plus 34203/34221/34243 (24); Sarasota beach list 34231/33/36/39/42/29/75/85/93 (49), plus 34232/34235/34237 (22). Inland Lakewood Ranch/Parrish/North Port ZIPs skipped.</t>
  </si>
  <si>
    <t xml:space="preserve">T2 Pinellas (57)</t>
  </si>
  <si>
    <t xml:space="preserve">Focus ZIPs 33772/33776/33777/34683/34684/33714 (36), plus Largo/mid-county 33770/33774/33778/33762/33764 and Palm Harbor 34685 (21).</t>
  </si>
  <si>
    <t xml:space="preserve">T3 Lee / Charlotte (28)</t>
  </si>
  <si>
    <t xml:space="preserve">Cape Coral 33904/33914 with pool and list price &lt;= $550k (24); Fort Myers Beach 33931 + Englewood 34224 (4). 33990/33991/33993 counted only (94 more absentee listings).</t>
  </si>
  <si>
    <t xml:space="preserve">Monroe (counts only)</t>
  </si>
  <si>
    <t xml:space="preserve">26 listed SFR 3+ bd $375k-$650k countywide, 9 absentee. Not bought.</t>
  </si>
  <si>
    <t xml:space="preserve">Summary pick</t>
  </si>
  <si>
    <t xml:space="preserve">Owner type</t>
  </si>
  <si>
    <t xml:space="preserve">Mail = property</t>
  </si>
  <si>
    <t xml:space="preserve">Exemption?</t>
  </si>
  <si>
    <t xml:space="preserve">Last sale</t>
  </si>
  <si>
    <t xml:space="preserve">Last sale $</t>
  </si>
  <si>
    <t xml:space="preserve">Loan balance</t>
  </si>
  <si>
    <t xml:space="preserve">AVM</t>
  </si>
  <si>
    <t xml:space="preserve">Equity %</t>
  </si>
  <si>
    <t xml:space="preserve">List price</t>
  </si>
  <si>
    <t xml:space="preserve">Listed</t>
  </si>
  <si>
    <t xml:space="preserve">Finding</t>
  </si>
  <si>
    <t xml:space="preserve">8404 43rd Ave Ter W, Bradenton 34209</t>
  </si>
  <si>
    <t xml:space="preserve">Individual (married)</t>
  </si>
  <si>
    <t xml:space="preserve">Likely</t>
  </si>
  <si>
    <t xml:space="preserve">2023-08-14</t>
  </si>
  <si>
    <t xml:space="preserve">RED FLAGS: exemption flag on a claimed $85k STR (homestead would contradict rental use); ~3% equity. At $560k with a 3% credit and ~5.5% seller costs, seller nets ~$512k vs ~$516k payoff, so they would have to bring cash. Expect pushback; consider ~$570k with a smaller credit.</t>
  </si>
  <si>
    <t xml:space="preserve">5318 17th St W, Bradenton 34207</t>
  </si>
  <si>
    <t xml:space="preserve">LLC/Corp</t>
  </si>
  <si>
    <t xml:space="preserve">Flag set (corporate, so not homestead)</t>
  </si>
  <si>
    <t xml:space="preserve">2024-04-09</t>
  </si>
  <si>
    <t xml:space="preserve">PropertyRadar types it MFR (supports the duplex story; still confirm legal nonconforming use). $460k offer clears the payoff.</t>
  </si>
  <si>
    <t xml:space="preserve">2801 23rd Ave W, Bradenton 34205</t>
  </si>
  <si>
    <t xml:space="preserve">Individual</t>
  </si>
  <si>
    <t xml:space="preserve">No (absentee)</t>
  </si>
  <si>
    <t xml:space="preserve">2024-03-04</t>
  </si>
  <si>
    <t xml:space="preserve">Absentee, consistent with STR use. AVM $431k vs $645k ask: appraisal risk confirmed.</t>
  </si>
  <si>
    <t xml:space="preserve">12565 81st Ave, Seminole 33776</t>
  </si>
  <si>
    <t xml:space="preserve">Individual (multi)</t>
  </si>
  <si>
    <t xml:space="preserve">2021-04-16</t>
  </si>
  <si>
    <t xml:space="preserve">Owner mails to the property: may be owner-occupied/homesteaded. Check before trusting 'Airbnb since 2022'. AVM $357k vs $499k ask.</t>
  </si>
  <si>
    <t xml:space="preserve">4000 46th St N, St Petersburg 33714</t>
  </si>
  <si>
    <t xml:space="preserve">2025-02-19</t>
  </si>
  <si>
    <t xml:space="preserve">Bought 2/2025 at $330k; ask $500k and AVM $329k: big appraisal gap. Exemption flag set; confirm homestead status.</t>
  </si>
  <si>
    <t xml:space="preserve">SCREEN TARGETS</t>
  </si>
  <si>
    <t xml:space="preserve">BENCHMARK GROSS ($/yr) BY MARKET</t>
  </si>
  <si>
    <t xml:space="preserve">3BR no pool</t>
  </si>
  <si>
    <t xml:space="preserve">3BR pool</t>
  </si>
  <si>
    <t xml:space="preserve">4BR+ no pool</t>
  </si>
  <si>
    <t xml:space="preserve">4BR+ pool</t>
  </si>
  <si>
    <t xml:space="preserve">Basis</t>
  </si>
  <si>
    <t xml:space="preserve">DSCR target (floor)</t>
  </si>
  <si>
    <t xml:space="preserve">Manatee W Bradenton (STR)</t>
  </si>
  <si>
    <t xml:space="preserve">Analyst estimates anchored to seller-stated incomes already in this workbook (West Bradenton 4BR pool $63-89k; Seminole $71k; Largo $51k; Cape Coral $60k). Sarasota County and Siesta Key rows are 30-day+ seasonal (county 30-day minimum). Overwrite with AirDNA/PriceLabs comps.</t>
  </si>
  <si>
    <t xml:space="preserve">DSCR target (preferred)</t>
  </si>
  <si>
    <t xml:space="preserve">Manatee inland (STR)</t>
  </si>
  <si>
    <t xml:space="preserve">Sarasota City (7-night)</t>
  </si>
  <si>
    <t xml:space="preserve">Sarasota County (30-day)</t>
  </si>
  <si>
    <t xml:space="preserve">Siesta Key (30-day)</t>
  </si>
  <si>
    <t xml:space="preserve">Pinellas uninc/Largo (STR)</t>
  </si>
  <si>
    <t xml:space="preserve">Cape Coral pool (STR)</t>
  </si>
  <si>
    <t xml:space="preserve">FMB / Englewood</t>
  </si>
  <si>
    <t xml:space="preserve">Market (benchmark)</t>
  </si>
  <si>
    <t xml:space="preserve">Beds</t>
  </si>
  <si>
    <t xml:space="preserve">Baths</t>
  </si>
  <si>
    <t xml:space="preserve">SqFt</t>
  </si>
  <si>
    <t xml:space="preserve">Year</t>
  </si>
  <si>
    <t xml:space="preserve">Last Sale Date</t>
  </si>
  <si>
    <t xml:space="preserve">Last Sale Price</t>
  </si>
  <si>
    <t xml:space="preserve">Est. Equity</t>
  </si>
  <si>
    <t xml:space="preserve">Owner Type</t>
  </si>
  <si>
    <t xml:space="preserve">Absentee</t>
  </si>
  <si>
    <t xml:space="preserve">Tier</t>
  </si>
  <si>
    <t xml:space="preserve">Req. Gross DSCR 1.00 ($/yr)</t>
  </si>
  <si>
    <t xml:space="preserve">Req. Gross DSCR 1.25 ($/yr)</t>
  </si>
  <si>
    <t xml:space="preserve">Beds (screen)</t>
  </si>
  <si>
    <t xml:space="preserve">Benchmark Gross ($/yr)</t>
  </si>
  <si>
    <t xml:space="preserve">Benchmark / Req. 1.00</t>
  </si>
  <si>
    <t xml:space="preserve">DSCR Screen</t>
  </si>
  <si>
    <t xml:space="preserve">Notes</t>
  </si>
  <si>
    <t xml:space="preserve">216 SW 29th St</t>
  </si>
  <si>
    <t xml:space="preserve">Single Family Residence</t>
  </si>
  <si>
    <t xml:space="preserve">2022-04-08</t>
  </si>
  <si>
    <t xml:space="preserve">T3 Cape Coral pool</t>
  </si>
  <si>
    <t xml:space="preserve">WEB: 4/2 2016 heated saltwater pool, corner lot, zone X, no HOA. Cut from $450k; on/off market since 2025 ($479.9k). No canal or rental claims seen: dry lot likely. Best screen in the pull, but no income history.</t>
  </si>
  <si>
    <t xml:space="preserve">634 SE 32nd St</t>
  </si>
  <si>
    <t xml:space="preserve">2013-02-26</t>
  </si>
  <si>
    <t xml:space="preserve">WEB: currently/recently a long-term rental ($2,700/mo; $3,200 in 2023); same MLS also shows for rent. Metal roof, outside flood zone. No canal, no STR history.</t>
  </si>
  <si>
    <t xml:space="preserve">3010 Hatton St</t>
  </si>
  <si>
    <t xml:space="preserve">Sarasota 34237</t>
  </si>
  <si>
    <t xml:space="preserve">Trust</t>
  </si>
  <si>
    <t xml:space="preserve">T1 Sarasota city</t>
  </si>
  <si>
    <t xml:space="preserve">WEB: Opendoor resale; remarks say 'room for a pool', so likely NO pool (PropertyRadar shows pool; set to N). Nearby parcels show City Limits (7-night min). No rental claims.</t>
  </si>
  <si>
    <t xml:space="preserve">209 15th St</t>
  </si>
  <si>
    <t xml:space="preserve">1975-01-01</t>
  </si>
  <si>
    <t xml:space="preserve">T2 Pinellas focus</t>
  </si>
  <si>
    <t xml:space="preserve">Beds not in Pinellas public record; screen assumes 3BR &lt;2,000 sf, 4BR &gt;=2,000 sf. WEB: 3/2 pool, unincorporated Palm Harbor (nightly STR legal w/ Certificate of Use). Cut $555k -&gt; $499k since July. No rental history. Cleanest STR-legal Pinellas pool house in the pull.</t>
  </si>
  <si>
    <t xml:space="preserve">8665 Mockingbird Ln</t>
  </si>
  <si>
    <t xml:space="preserve">1972-01-01</t>
  </si>
  <si>
    <t xml:space="preserve">Beds not in Pinellas public record; screen assumes 3BR &lt;2,000 sf, 4BR &gt;=2,000 sf. WEB: 3/2 fixer, sold as-is, ~830 DOM (same MLS since 2024), last seen $429.9k. Homestead taxes $1.2k will reset. Likely unincorporated (Bardmoor).</t>
  </si>
  <si>
    <t xml:space="preserve">4207 21st Ave W</t>
  </si>
  <si>
    <t xml:space="preserve">2017-03-22</t>
  </si>
  <si>
    <t xml:space="preserve">T1 Manatee beach</t>
  </si>
  <si>
    <t xml:space="preserve">WEB: REO/foreclosure resale (Feb 2026 auction). Zoning R1B suggests City of Bradenton (certificate required). One site shows a cut to $374.9k. No rental history.</t>
  </si>
  <si>
    <t xml:space="preserve">11440 130th Ave</t>
  </si>
  <si>
    <t xml:space="preserve">Largo 33778</t>
  </si>
  <si>
    <t xml:space="preserve">2012-10-19</t>
  </si>
  <si>
    <t xml:space="preserve">T2 Pinellas Largo/mid</t>
  </si>
  <si>
    <t xml:space="preserve">Beds not in Pinellas public record; screen assumes 3BR &lt;2,000 sf, 4BR &gt;=2,000 sf. WEB: 3/2, cut $494.7k -&gt; $450k; pool unconfirmed. Jurisdiction (uninc vs City of Largo) unconfirmed; STR legal either way.</t>
  </si>
  <si>
    <t xml:space="preserve">1115 SE 30th Ter</t>
  </si>
  <si>
    <t xml:space="preserve">WEB: renovated, triple lot, city assessments paid, zone X; tenant-occupied long-term rental (sale subject to lease). Bought 3/2024 for $389k. No canal.</t>
  </si>
  <si>
    <t xml:space="preserve">930 SW 37th Ter</t>
  </si>
  <si>
    <t xml:space="preserve">2011-02-24</t>
  </si>
  <si>
    <t xml:space="preserve">WEB: 2024 remarks said 'successful vacation rental'; address is on the FL DBPR vacation-rental license list. No $ figures. Sold 10/2024 $390k; ~400 DOM at $400k. Ask for payouts. Added to SWFL watch list.</t>
  </si>
  <si>
    <t xml:space="preserve">2225 Jaffa Pl</t>
  </si>
  <si>
    <t xml:space="preserve">Clearwater 33764</t>
  </si>
  <si>
    <t xml:space="preserve">2007-03-13</t>
  </si>
  <si>
    <t xml:space="preserve">Beds not in Pinellas public record; screen assumes 3BR &lt;2,000 sf, 4BR &gt;=2,000 sf. WEB: 3/2 pool, HOA ~$60, Grovewood. If inside Clearwater city limits, 30-day minimum kills nightly STR: check PCPAO tax district.</t>
  </si>
  <si>
    <t xml:space="preserve">3141 N Canal Dr</t>
  </si>
  <si>
    <t xml:space="preserve">Palm Harbor 34684</t>
  </si>
  <si>
    <t xml:space="preserve">2006-05-02</t>
  </si>
  <si>
    <t xml:space="preserve">Beds not in Pinellas public record; screen assumes 3BR &lt;2,000 sf, 4BR &gt;=2,000 sf.</t>
  </si>
  <si>
    <t xml:space="preserve">10293 Satsuma Rd</t>
  </si>
  <si>
    <t xml:space="preserve">Seminole 33772</t>
  </si>
  <si>
    <t xml:space="preserve">2021-10-11</t>
  </si>
  <si>
    <t xml:space="preserve">Beds not in Pinellas public record; screen assumes 3BR &lt;2,000 sf, 4BR &gt;=2,000 sf. WEB: 3/2 pool, former long-term rental at $2,750/mo (LLC owner). City of Seminole vs unincorporated unconfirmed.</t>
  </si>
  <si>
    <t xml:space="preserve">14883 Seminole Trl # 130</t>
  </si>
  <si>
    <t xml:space="preserve">PUD</t>
  </si>
  <si>
    <t xml:space="preserve">2010-12-22</t>
  </si>
  <si>
    <t xml:space="preserve">1039 Madison St</t>
  </si>
  <si>
    <t xml:space="preserve">Beds not in Pinellas public record; screen assumes 3BR &lt;2,000 sf, 4BR &gt;=2,000 sf. WEB: actually 2/2 (not 3BR), pool + tiki hut; advertised as a long-term rental at $2,950/mo. 2BR fails the 3+ bed brief.</t>
  </si>
  <si>
    <t xml:space="preserve">5535 Bates St</t>
  </si>
  <si>
    <t xml:space="preserve">1997-12-17</t>
  </si>
  <si>
    <t xml:space="preserve">Beds not in Pinellas public record; screen assumes 3BR &lt;2,000 sf, 4BR &gt;=2,000 sf. WEB: 3/2.5, 2,624 sf; cut $649.9k -&gt; $574.9k; institutional SFR owner (past LTR). Likely unincorporated (R-3). Pool vs spa unconfirmed.</t>
  </si>
  <si>
    <t xml:space="preserve">310 SE 47th St</t>
  </si>
  <si>
    <t xml:space="preserve">2022-02-02</t>
  </si>
  <si>
    <t xml:space="preserve">1432 SE 29th Ter</t>
  </si>
  <si>
    <t xml:space="preserve">2010-12-20</t>
  </si>
  <si>
    <t xml:space="preserve">3318 SW 8th Pl</t>
  </si>
  <si>
    <t xml:space="preserve">2023-06-01</t>
  </si>
  <si>
    <t xml:space="preserve">1538 SW 49th St</t>
  </si>
  <si>
    <t xml:space="preserve">2016-09-26</t>
  </si>
  <si>
    <t xml:space="preserve">2090 Sandpiper Dr</t>
  </si>
  <si>
    <t xml:space="preserve">2005-05-24</t>
  </si>
  <si>
    <t xml:space="preserve">2006 8th Ave SW</t>
  </si>
  <si>
    <t xml:space="preserve">2016-02-18</t>
  </si>
  <si>
    <t xml:space="preserve">Beds not in Pinellas public record; screen assumes 3BR &lt;2,000 sf, 4BR &gt;=2,000 sf. WEB: remodeled 4/3 pool, new roof; cut from $575k. Likely City of Largo (STR allowed). No rental history.</t>
  </si>
  <si>
    <t xml:space="preserve">2228 SW 26th Ter</t>
  </si>
  <si>
    <t xml:space="preserve">2019-08-09</t>
  </si>
  <si>
    <t xml:space="preserve">1704 Palaco Grande Pkwy</t>
  </si>
  <si>
    <t xml:space="preserve">2023-03-31</t>
  </si>
  <si>
    <t xml:space="preserve">1724 SW 51st Ter</t>
  </si>
  <si>
    <t xml:space="preserve">2011-01-20</t>
  </si>
  <si>
    <t xml:space="preserve">1720 Arabian Ln</t>
  </si>
  <si>
    <t xml:space="preserve">Palm Harbor 34685</t>
  </si>
  <si>
    <t xml:space="preserve">2011-10-12</t>
  </si>
  <si>
    <t xml:space="preserve">622 SW 31st St</t>
  </si>
  <si>
    <t xml:space="preserve">2005-02-17</t>
  </si>
  <si>
    <t xml:space="preserve">6513 29th Ave W</t>
  </si>
  <si>
    <t xml:space="preserve">2022-01-10</t>
  </si>
  <si>
    <t xml:space="preserve">WEB: snippets say 3/2 and no pool mentioned; unfurnished; two cuts $549.9k -&gt; $499,999; likely unincorporated Manatee. No rental claims.</t>
  </si>
  <si>
    <t xml:space="preserve">3603 SE 18th Pl</t>
  </si>
  <si>
    <t xml:space="preserve">2020-07-08</t>
  </si>
  <si>
    <t xml:space="preserve">2077 Druid Rd E</t>
  </si>
  <si>
    <t xml:space="preserve">2002-01-03</t>
  </si>
  <si>
    <t xml:space="preserve">2122 SW 25th St</t>
  </si>
  <si>
    <t xml:space="preserve">2022-05-25</t>
  </si>
  <si>
    <t xml:space="preserve">3100 Lake Ridge Dr</t>
  </si>
  <si>
    <t xml:space="preserve">2022-11-18</t>
  </si>
  <si>
    <t xml:space="preserve">5017 80th Avenue Cir E</t>
  </si>
  <si>
    <t xml:space="preserve">Sarasota 34243</t>
  </si>
  <si>
    <t xml:space="preserve">2011-02-28</t>
  </si>
  <si>
    <t xml:space="preserve">T1 Manatee other</t>
  </si>
  <si>
    <t xml:space="preserve">4831 SW 18th Ave</t>
  </si>
  <si>
    <t xml:space="preserve">2020-01-07</t>
  </si>
  <si>
    <t xml:space="preserve">102 Stafford Dr</t>
  </si>
  <si>
    <t xml:space="preserve">2001-04-17</t>
  </si>
  <si>
    <t xml:space="preserve">707 65th Avenue Dr W</t>
  </si>
  <si>
    <t xml:space="preserve">2023-06-21</t>
  </si>
  <si>
    <t xml:space="preserve">2024-07-01</t>
  </si>
  <si>
    <t xml:space="preserve">Already in workbook (see market tab).</t>
  </si>
  <si>
    <t xml:space="preserve">4623 Sanibel Way</t>
  </si>
  <si>
    <t xml:space="preserve">Bradenton 34203</t>
  </si>
  <si>
    <t xml:space="preserve">2015-06-16</t>
  </si>
  <si>
    <t xml:space="preserve">2801 23rd Ave W</t>
  </si>
  <si>
    <t xml:space="preserve">318 SW 28th St</t>
  </si>
  <si>
    <t xml:space="preserve">2025-03-18</t>
  </si>
  <si>
    <t xml:space="preserve">4205 4th Ave W</t>
  </si>
  <si>
    <t xml:space="preserve">2011-02-07</t>
  </si>
  <si>
    <t xml:space="preserve">368 Harbor Ridge Dr</t>
  </si>
  <si>
    <t xml:space="preserve">2021-09-23</t>
  </si>
  <si>
    <t xml:space="preserve">197 Philadelphia Blvd # 26</t>
  </si>
  <si>
    <t xml:space="preserve">Mobile Home</t>
  </si>
  <si>
    <t xml:space="preserve">2004-06-17</t>
  </si>
  <si>
    <t xml:space="preserve">Mobile/manufactured: not DSCR-eligible. Beds not in Pinellas public record; screen assumes 3BR &lt;2,000 sf, 4BR &gt;=2,000 sf.</t>
  </si>
  <si>
    <t xml:space="preserve">1137 SW 37th St</t>
  </si>
  <si>
    <t xml:space="preserve">2020-10-28</t>
  </si>
  <si>
    <t xml:space="preserve">537 Melody Cir</t>
  </si>
  <si>
    <t xml:space="preserve">2005-07-07</t>
  </si>
  <si>
    <t xml:space="preserve">6211 Cornell Rd</t>
  </si>
  <si>
    <t xml:space="preserve">2024-04-15</t>
  </si>
  <si>
    <t xml:space="preserve">5507 Harbor Rd</t>
  </si>
  <si>
    <t xml:space="preserve">2016-06-17</t>
  </si>
  <si>
    <t xml:space="preserve">14623 Sunset Dr</t>
  </si>
  <si>
    <t xml:space="preserve">Largo 33774</t>
  </si>
  <si>
    <t xml:space="preserve">2020-08-14</t>
  </si>
  <si>
    <t xml:space="preserve">2304 Bahia Vista St</t>
  </si>
  <si>
    <t xml:space="preserve">2022-01-24</t>
  </si>
  <si>
    <t xml:space="preserve">T1 Sarasota beach</t>
  </si>
  <si>
    <t xml:space="preserve">12663 Indian Rocks Rd</t>
  </si>
  <si>
    <t xml:space="preserve">2011-05-26</t>
  </si>
  <si>
    <t xml:space="preserve">201 South St</t>
  </si>
  <si>
    <t xml:space="preserve">2024-01-10</t>
  </si>
  <si>
    <t xml:space="preserve">4750 Tivoli Ave</t>
  </si>
  <si>
    <t xml:space="preserve">Sarasota 34235</t>
  </si>
  <si>
    <t xml:space="preserve">2009-03-04</t>
  </si>
  <si>
    <t xml:space="preserve">7782 93rd St N</t>
  </si>
  <si>
    <t xml:space="preserve">2023-09-20</t>
  </si>
  <si>
    <t xml:space="preserve">3328 70th Ct E</t>
  </si>
  <si>
    <t xml:space="preserve">Palmetto 34221</t>
  </si>
  <si>
    <t xml:space="preserve">235 Overbrook Dr E</t>
  </si>
  <si>
    <t xml:space="preserve">2017-11-02</t>
  </si>
  <si>
    <t xml:space="preserve">5949 32nd St N</t>
  </si>
  <si>
    <t xml:space="preserve">1984-12-01</t>
  </si>
  <si>
    <t xml:space="preserve">2431 Grove Ridge Dr</t>
  </si>
  <si>
    <t xml:space="preserve">2019-06-19</t>
  </si>
  <si>
    <t xml:space="preserve">1516 Adele Pl</t>
  </si>
  <si>
    <t xml:space="preserve">927 SW 28th Ter</t>
  </si>
  <si>
    <t xml:space="preserve">2009-04-15</t>
  </si>
  <si>
    <t xml:space="preserve">3332 SE 19th Ave</t>
  </si>
  <si>
    <t xml:space="preserve">2004-08-03</t>
  </si>
  <si>
    <t xml:space="preserve">12080 66th Ave</t>
  </si>
  <si>
    <t xml:space="preserve">2012-12-19</t>
  </si>
  <si>
    <t xml:space="preserve">403 SE 33rd Ter</t>
  </si>
  <si>
    <t xml:space="preserve">2022-06-14</t>
  </si>
  <si>
    <t xml:space="preserve">4633 Brooksdale Dr</t>
  </si>
  <si>
    <t xml:space="preserve">Sarasota 34232</t>
  </si>
  <si>
    <t xml:space="preserve">2018-06-19</t>
  </si>
  <si>
    <t xml:space="preserve">740 Coral Dr</t>
  </si>
  <si>
    <t xml:space="preserve">2024-10-14</t>
  </si>
  <si>
    <t xml:space="preserve">5625 35th Way N</t>
  </si>
  <si>
    <t xml:space="preserve">2019-05-15</t>
  </si>
  <si>
    <t xml:space="preserve">13822 Brewster Dr</t>
  </si>
  <si>
    <t xml:space="preserve">1984-10-01</t>
  </si>
  <si>
    <t xml:space="preserve">2209 Euclid Cir S</t>
  </si>
  <si>
    <t xml:space="preserve">2021-12-10</t>
  </si>
  <si>
    <t xml:space="preserve">2872 Wesleyan Dr</t>
  </si>
  <si>
    <t xml:space="preserve">2014-06-10</t>
  </si>
  <si>
    <t xml:space="preserve">2014 Country Meadows Ln</t>
  </si>
  <si>
    <t xml:space="preserve">2020-12-14</t>
  </si>
  <si>
    <t xml:space="preserve">4708 Alligator Dr</t>
  </si>
  <si>
    <t xml:space="preserve">Venice 34293</t>
  </si>
  <si>
    <t xml:space="preserve">2023-07-21</t>
  </si>
  <si>
    <t xml:space="preserve">3226 SE 2nd Ave</t>
  </si>
  <si>
    <t xml:space="preserve">2017-09-22</t>
  </si>
  <si>
    <t xml:space="preserve">2958 Dundee Dr</t>
  </si>
  <si>
    <t xml:space="preserve">2009-10-29</t>
  </si>
  <si>
    <t xml:space="preserve">3225 Laurel Ave</t>
  </si>
  <si>
    <t xml:space="preserve">Clearwater 33762</t>
  </si>
  <si>
    <t xml:space="preserve">2022-10-21</t>
  </si>
  <si>
    <t xml:space="preserve">414 Still Meadows Cir E</t>
  </si>
  <si>
    <t xml:space="preserve">2018-10-23</t>
  </si>
  <si>
    <t xml:space="preserve">4815 Sorrento Ct</t>
  </si>
  <si>
    <t xml:space="preserve">2023-02-15</t>
  </si>
  <si>
    <t xml:space="preserve">2016-04-04</t>
  </si>
  <si>
    <t xml:space="preserve">1344 Ribolla Dr</t>
  </si>
  <si>
    <t xml:space="preserve">2007-01-22</t>
  </si>
  <si>
    <t xml:space="preserve">1266 Ribolla Dr</t>
  </si>
  <si>
    <t xml:space="preserve">2018-11-14</t>
  </si>
  <si>
    <t xml:space="preserve">4213 SW 14th Pl</t>
  </si>
  <si>
    <t xml:space="preserve">2008-08-29</t>
  </si>
  <si>
    <t xml:space="preserve">108 Indian Rocks Rd S</t>
  </si>
  <si>
    <t xml:space="preserve">Belleair Bluffs 33770</t>
  </si>
  <si>
    <t xml:space="preserve">1979-01-01</t>
  </si>
  <si>
    <t xml:space="preserve">8351 Creekview Ln</t>
  </si>
  <si>
    <t xml:space="preserve">Englewood 34224</t>
  </si>
  <si>
    <t xml:space="preserve">2015-08-04</t>
  </si>
  <si>
    <t xml:space="preserve">T3 FMB/Englewood</t>
  </si>
  <si>
    <t xml:space="preserve">3997 Mckay Creek Cir</t>
  </si>
  <si>
    <t xml:space="preserve">2021-10-04</t>
  </si>
  <si>
    <t xml:space="preserve">4642 Runabout Way</t>
  </si>
  <si>
    <t xml:space="preserve">2012-10-03</t>
  </si>
  <si>
    <t xml:space="preserve">2339 Riverwood Pines Dr</t>
  </si>
  <si>
    <t xml:space="preserve">2009-01-15</t>
  </si>
  <si>
    <t xml:space="preserve">2746 Hibiscus St</t>
  </si>
  <si>
    <t xml:space="preserve">2024-10-25</t>
  </si>
  <si>
    <t xml:space="preserve">8718 94th St</t>
  </si>
  <si>
    <t xml:space="preserve">1970-01-01</t>
  </si>
  <si>
    <t xml:space="preserve">8131 Tea Olive Ter</t>
  </si>
  <si>
    <t xml:space="preserve">6106 45th St W</t>
  </si>
  <si>
    <t xml:space="preserve">2022-07-29</t>
  </si>
  <si>
    <t xml:space="preserve">2135 Lee Ln</t>
  </si>
  <si>
    <t xml:space="preserve">2024-05-20</t>
  </si>
  <si>
    <t xml:space="preserve">9796 Indian Key Trl # 92</t>
  </si>
  <si>
    <t xml:space="preserve">2520 E Milmar Dr</t>
  </si>
  <si>
    <t xml:space="preserve">2015-10-09</t>
  </si>
  <si>
    <t xml:space="preserve">3160 Aspinwall St</t>
  </si>
  <si>
    <t xml:space="preserve">2022-03-25</t>
  </si>
  <si>
    <t xml:space="preserve">9488 88th Ter</t>
  </si>
  <si>
    <t xml:space="preserve">2321 Ingram Ave</t>
  </si>
  <si>
    <t xml:space="preserve">2023-09-01</t>
  </si>
  <si>
    <t xml:space="preserve">14363 Neptune Rd</t>
  </si>
  <si>
    <t xml:space="preserve">1985-02-01</t>
  </si>
  <si>
    <t xml:space="preserve">12601 134th St</t>
  </si>
  <si>
    <t xml:space="preserve">1984-07-01</t>
  </si>
  <si>
    <t xml:space="preserve">1713 Walden Ct</t>
  </si>
  <si>
    <t xml:space="preserve">1986-12-01</t>
  </si>
  <si>
    <t xml:space="preserve">1507 10th Ave W</t>
  </si>
  <si>
    <t xml:space="preserve">2024-12-04</t>
  </si>
  <si>
    <t xml:space="preserve">4584 Runabout Way</t>
  </si>
  <si>
    <t xml:space="preserve">2022-10-20</t>
  </si>
  <si>
    <t xml:space="preserve">315 57th Street Ct W</t>
  </si>
  <si>
    <t xml:space="preserve">1986-03-01</t>
  </si>
  <si>
    <t xml:space="preserve">2709 Winding Way</t>
  </si>
  <si>
    <t xml:space="preserve">2022-06-20</t>
  </si>
  <si>
    <t xml:space="preserve">10307 Sandpiper Rd W</t>
  </si>
  <si>
    <t xml:space="preserve">2016-05-06</t>
  </si>
  <si>
    <t xml:space="preserve">12 Nancy Ln</t>
  </si>
  <si>
    <t xml:space="preserve">Fort Myers Beach 33931</t>
  </si>
  <si>
    <t xml:space="preserve">2023-01-20</t>
  </si>
  <si>
    <t xml:space="preserve">Mobile/manufactured: not DSCR-eligible.</t>
  </si>
  <si>
    <t xml:space="preserve">6813 Winslow St</t>
  </si>
  <si>
    <t xml:space="preserve">2007-04-16</t>
  </si>
  <si>
    <t xml:space="preserve">3409 10th Ln W</t>
  </si>
  <si>
    <t xml:space="preserve">Townhouse/Rowhouse</t>
  </si>
  <si>
    <t xml:space="preserve">2024-01-03</t>
  </si>
  <si>
    <t xml:space="preserve">8211 Country Oaks Ct</t>
  </si>
  <si>
    <t xml:space="preserve">2021-06-14</t>
  </si>
  <si>
    <t xml:space="preserve">2445 Apache St</t>
  </si>
  <si>
    <t xml:space="preserve">2001-04-02</t>
  </si>
  <si>
    <t xml:space="preserve">2823 60th Ave N</t>
  </si>
  <si>
    <t xml:space="preserve">2021-11-23</t>
  </si>
  <si>
    <t xml:space="preserve">1367 Indian Rocks Rd S</t>
  </si>
  <si>
    <t xml:space="preserve">1974 Southview Rd</t>
  </si>
  <si>
    <t xml:space="preserve">2024-04-30</t>
  </si>
  <si>
    <t xml:space="preserve">2375 Bahia Vista St</t>
  </si>
  <si>
    <t xml:space="preserve">2021-01-12</t>
  </si>
  <si>
    <t xml:space="preserve">List price missing in PropertyRadar (listing may have ended); AVM used.</t>
  </si>
  <si>
    <t xml:space="preserve">4882 W Breeze Cir</t>
  </si>
  <si>
    <t xml:space="preserve">2016-11-01</t>
  </si>
  <si>
    <t xml:space="preserve">3033 54th Ave N</t>
  </si>
  <si>
    <t xml:space="preserve">2011-05-16</t>
  </si>
  <si>
    <t xml:space="preserve">2316 Gull Ln</t>
  </si>
  <si>
    <t xml:space="preserve">2022-12-27</t>
  </si>
  <si>
    <t xml:space="preserve">4205 57th Ave N</t>
  </si>
  <si>
    <t xml:space="preserve">2236 Alice Rd</t>
  </si>
  <si>
    <t xml:space="preserve">2019-04-24</t>
  </si>
  <si>
    <t xml:space="preserve">1626 Lago Vista Blvd</t>
  </si>
  <si>
    <t xml:space="preserve">2013-09-12</t>
  </si>
  <si>
    <t xml:space="preserve">3167 Irving St</t>
  </si>
  <si>
    <t xml:space="preserve">2001-12-28</t>
  </si>
  <si>
    <t xml:space="preserve">5031 Brandeis Cir S</t>
  </si>
  <si>
    <t xml:space="preserve">2014-08-08</t>
  </si>
  <si>
    <t xml:space="preserve">4705 Stafford Ct</t>
  </si>
  <si>
    <t xml:space="preserve">3135 Alta Vista St</t>
  </si>
  <si>
    <t xml:space="preserve">2025-01-28</t>
  </si>
  <si>
    <t xml:space="preserve">5333 Duncanwood Dr</t>
  </si>
  <si>
    <t xml:space="preserve">1987-12-01</t>
  </si>
  <si>
    <t xml:space="preserve">1468 Daryl Dr</t>
  </si>
  <si>
    <t xml:space="preserve">2011-03-04</t>
  </si>
  <si>
    <t xml:space="preserve">200 Lagoon Dr</t>
  </si>
  <si>
    <t xml:space="preserve">2017-05-08</t>
  </si>
  <si>
    <t xml:space="preserve">6435 Devesta Loop</t>
  </si>
  <si>
    <t xml:space="preserve">2018-08-21</t>
  </si>
  <si>
    <t xml:space="preserve">3248 Gulf Watch Ct</t>
  </si>
  <si>
    <t xml:space="preserve">1996-12-26</t>
  </si>
  <si>
    <t xml:space="preserve">12685 Canavese Ln</t>
  </si>
  <si>
    <t xml:space="preserve">2019-01-29</t>
  </si>
  <si>
    <t xml:space="preserve">2644 42nd Ave N</t>
  </si>
  <si>
    <t xml:space="preserve">2022-05-11</t>
  </si>
  <si>
    <t xml:space="preserve">373 Foxcroft Dr E</t>
  </si>
  <si>
    <t xml:space="preserve">2011-05-25</t>
  </si>
  <si>
    <t xml:space="preserve">7526 Ridgelake Cir</t>
  </si>
  <si>
    <t xml:space="preserve">2019-10-14</t>
  </si>
  <si>
    <t xml:space="preserve">203 Driftwood Dr W</t>
  </si>
  <si>
    <t xml:space="preserve">2024-04-05</t>
  </si>
  <si>
    <t xml:space="preserve">2475 Wood Oak Dr</t>
  </si>
  <si>
    <t xml:space="preserve">2019-10-10</t>
  </si>
  <si>
    <t xml:space="preserve">2520 11th Ave W</t>
  </si>
  <si>
    <t xml:space="preserve">2824 47th St E</t>
  </si>
  <si>
    <t xml:space="preserve">2014-02-04</t>
  </si>
  <si>
    <t xml:space="preserve">6744 45th Ter E</t>
  </si>
  <si>
    <t xml:space="preserve">2014-08-13</t>
  </si>
  <si>
    <t xml:space="preserve">2144 43rd Ter N</t>
  </si>
  <si>
    <t xml:space="preserve">2022-06-07</t>
  </si>
  <si>
    <t xml:space="preserve">2343 Eugene St</t>
  </si>
  <si>
    <t xml:space="preserve">2023-06-26</t>
  </si>
  <si>
    <t xml:space="preserve">1842 San Silvestro Dr</t>
  </si>
  <si>
    <t xml:space="preserve">Venice 34285</t>
  </si>
  <si>
    <t xml:space="preserve">2020-06-24</t>
  </si>
  <si>
    <t xml:space="preserve">2062 Old Arbor Ct</t>
  </si>
  <si>
    <t xml:space="preserve">1997-09-02</t>
  </si>
  <si>
    <t xml:space="preserve">3213 45th Ave E</t>
  </si>
  <si>
    <t xml:space="preserve">2003-02-18</t>
  </si>
  <si>
    <t xml:space="preserve">4319 Augustine Ave</t>
  </si>
  <si>
    <t xml:space="preserve">2011-08-24</t>
  </si>
  <si>
    <t xml:space="preserve">4411 Beneva Rd</t>
  </si>
  <si>
    <t xml:space="preserve">2023-08-22</t>
  </si>
  <si>
    <t xml:space="preserve">19524 Fishhawk Trl</t>
  </si>
  <si>
    <t xml:space="preserve">2022-09-02</t>
  </si>
  <si>
    <t xml:space="preserve">188 Daylily Blvd</t>
  </si>
  <si>
    <t xml:space="preserve">Nokomis 34275</t>
  </si>
  <si>
    <t xml:space="preserve">2022-07-08</t>
  </si>
  <si>
    <t xml:space="preserve">210 Hibiscus Dr</t>
  </si>
  <si>
    <t xml:space="preserve">2022-03-09</t>
  </si>
  <si>
    <t xml:space="preserve">924 Euclid Rd</t>
  </si>
  <si>
    <t xml:space="preserve">2021-09-29</t>
  </si>
  <si>
    <t xml:space="preserve">19143 Kirella St</t>
  </si>
  <si>
    <t xml:space="preserve">2012-06-07</t>
  </si>
  <si>
    <t xml:space="preserve">16288 48th St N</t>
  </si>
  <si>
    <t xml:space="preserve">2021-11-02</t>
  </si>
  <si>
    <t xml:space="preserve">2050 W Bay Dr</t>
  </si>
  <si>
    <t xml:space="preserve">2016-10-20</t>
  </si>
  <si>
    <t xml:space="preserve">14462 91st Ave</t>
  </si>
  <si>
    <t xml:space="preserve">2022-04-13</t>
  </si>
  <si>
    <t xml:space="preserve">1415 S School Ave</t>
  </si>
  <si>
    <t xml:space="preserve">2018-12-31</t>
  </si>
  <si>
    <t xml:space="preserve">10414 Inglenook Ter</t>
  </si>
  <si>
    <t xml:space="preserve">2022-01-05</t>
  </si>
  <si>
    <t xml:space="preserve">1113 Derian Pl</t>
  </si>
  <si>
    <t xml:space="preserve">2007-04-19</t>
  </si>
  <si>
    <t xml:space="preserve">120 Ventosa Pl</t>
  </si>
  <si>
    <t xml:space="preserve">2017-05-16</t>
  </si>
  <si>
    <t xml:space="preserve">4644 Sawyer Rd</t>
  </si>
  <si>
    <t xml:space="preserve">2022-07-20</t>
  </si>
  <si>
    <t xml:space="preserve">5262 Asher Ct</t>
  </si>
  <si>
    <t xml:space="preserve">19763 Tortuga Cay Dr</t>
  </si>
  <si>
    <t xml:space="preserve">2022-12-06</t>
  </si>
  <si>
    <t xml:space="preserve">2719 46th St E</t>
  </si>
  <si>
    <t xml:space="preserve">18260 Vizcaya Ct</t>
  </si>
  <si>
    <t xml:space="preserve">2024-09-18</t>
  </si>
  <si>
    <t xml:space="preserve">3452 Bay St</t>
  </si>
  <si>
    <t xml:space="preserve">2023-10-10</t>
  </si>
  <si>
    <t xml:space="preserve">12371 Hearts Ease St</t>
  </si>
  <si>
    <t xml:space="preserve">2025-03-04</t>
  </si>
  <si>
    <t xml:space="preserve">2533 Hawthorne St</t>
  </si>
  <si>
    <t xml:space="preserve">2011-10-11</t>
  </si>
  <si>
    <t xml:space="preserve">1252 Waterside Ln</t>
  </si>
  <si>
    <t xml:space="preserve">2009-12-08</t>
  </si>
  <si>
    <t xml:space="preserve">3693 Divot Ln</t>
  </si>
  <si>
    <t xml:space="preserve">2017-06-15</t>
  </si>
  <si>
    <t xml:space="preserve">3048 Savage Rd</t>
  </si>
  <si>
    <t xml:space="preserve">2022-01-18</t>
  </si>
  <si>
    <t xml:space="preserve">4645 Breezy Pines Blvd</t>
  </si>
  <si>
    <t xml:space="preserve">1999-12-30</t>
  </si>
  <si>
    <t xml:space="preserve">20285 Symphony Pl</t>
  </si>
  <si>
    <t xml:space="preserve">2023-06-07</t>
  </si>
  <si>
    <t xml:space="preserve">339 Meadow Beauty Ct</t>
  </si>
  <si>
    <t xml:space="preserve">1994-10-24</t>
  </si>
  <si>
    <t xml:space="preserve">2104 Tocobaga Ln</t>
  </si>
  <si>
    <t xml:space="preserve">2024-05-16</t>
  </si>
  <si>
    <t xml:space="preserve">2839 Hardee Dr</t>
  </si>
  <si>
    <t xml:space="preserve">2022-01-06</t>
  </si>
  <si>
    <t xml:space="preserve">11925 Bohemian Pl</t>
  </si>
  <si>
    <t xml:space="preserve">2023-02-01</t>
  </si>
  <si>
    <t xml:space="preserve">1050 Bluffwood Dr</t>
  </si>
  <si>
    <t xml:space="preserve">2015-02-27</t>
  </si>
  <si>
    <t xml:space="preserve">620 Nasturtium Ct</t>
  </si>
  <si>
    <t xml:space="preserve">2023-04-03</t>
  </si>
  <si>
    <t xml:space="preserve">4411 Dolphin Ln</t>
  </si>
  <si>
    <t xml:space="preserve">2010-06-29</t>
  </si>
  <si>
    <t xml:space="preserve">55 Rutgers Rd</t>
  </si>
  <si>
    <t xml:space="preserve">2022-05-02</t>
  </si>
  <si>
    <t xml:space="preserve">5316 Altoona St</t>
  </si>
  <si>
    <t xml:space="preserve">2022-09-23</t>
  </si>
  <si>
    <t xml:space="preserve">4429 Conchfish Ln</t>
  </si>
  <si>
    <t xml:space="preserve">Osprey 34229</t>
  </si>
  <si>
    <t xml:space="preserve">2018-08-02</t>
  </si>
  <si>
    <t xml:space="preserve">20458 Bandera Pl</t>
  </si>
  <si>
    <t xml:space="preserve">2023-03-28</t>
  </si>
  <si>
    <t xml:space="preserve">4911 Caserta Ct</t>
  </si>
  <si>
    <t xml:space="preserve">2024-12-31</t>
  </si>
  <si>
    <t xml:space="preserve">13485 Bastiano St</t>
  </si>
  <si>
    <t xml:space="preserve">2015-09-01</t>
  </si>
  <si>
    <t xml:space="preserve">2924 Oriole Dr</t>
  </si>
  <si>
    <t xml:space="preserve">2016-03-01</t>
  </si>
  <si>
    <t xml:space="preserve">1706 Livingstone St</t>
  </si>
  <si>
    <t xml:space="preserve">2021-09-10</t>
  </si>
  <si>
    <t xml:space="preserve">156 Tall Trees Ct</t>
  </si>
  <si>
    <t xml:space="preserve">2015-03-10</t>
  </si>
  <si>
    <t xml:space="preserve">751 Arabian Cir</t>
  </si>
  <si>
    <t xml:space="preserve">2021-01-21</t>
  </si>
  <si>
    <t xml:space="preserve">520 Maraviya Blvd</t>
  </si>
  <si>
    <t xml:space="preserve">2021-05-03</t>
  </si>
  <si>
    <t xml:space="preserve">5148 Florida Rd</t>
  </si>
  <si>
    <t xml:space="preserve">10924 Wicker Park Pl</t>
  </si>
  <si>
    <t xml:space="preserve">2022-08-02</t>
  </si>
  <si>
    <t xml:space="preserve">114 Magnolia Ave</t>
  </si>
  <si>
    <t xml:space="preserve">2002-01-01</t>
  </si>
  <si>
    <t xml:space="preserve">5675 Equator Ct</t>
  </si>
  <si>
    <t xml:space="preserve">11112 Devonbridge Dr</t>
  </si>
  <si>
    <t xml:space="preserve">2023-02-14</t>
  </si>
  <si>
    <t xml:space="preserve">5589 Cannes Cir</t>
  </si>
  <si>
    <t xml:space="preserve">380 Cowry Rd</t>
  </si>
  <si>
    <t xml:space="preserve">2022-05-24</t>
  </si>
  <si>
    <t xml:space="preserve">934 E Venice Ave</t>
  </si>
  <si>
    <t xml:space="preserve">2019-12-18</t>
  </si>
  <si>
    <t xml:space="preserve">621 Hibiscus Dr</t>
  </si>
  <si>
    <t xml:space="preserve">2014-07-21</t>
  </si>
  <si>
    <t xml:space="preserve">West-Coast Florida STR Markets Ranked for This Buyer (25% down, ~7.25%)</t>
  </si>
  <si>
    <t xml:space="preserve">Typical 3-4BR pool house; DSCR = typical gross / est. PITIA (no haircut). Vendor revenue data conflicts up to 2x: treat DSCR as +/-0.15. Listing-level documented income beats market averages: the top Manatee picks run ~1.6x.</t>
  </si>
  <si>
    <t xml:space="preserve">Market (target ZIPs)</t>
  </si>
  <si>
    <t xml:space="preserve">Typical qualifying house</t>
  </si>
  <si>
    <t xml:space="preserve">Est. PITIA ($/yr)</t>
  </si>
  <si>
    <t xml:space="preserve">Typical gross ($/yr)</t>
  </si>
  <si>
    <t xml:space="preserve">DSCR (typical)</t>
  </si>
  <si>
    <t xml:space="preserve">STR legality</t>
  </si>
  <si>
    <t xml:space="preserve">Momentum / 'hot' signals</t>
  </si>
  <si>
    <t xml:space="preserve">Key risks</t>
  </si>
  <si>
    <t xml:space="preserve">Manatee mainland near AMI (W. Bradenton 34205/34207/34209/34210)</t>
  </si>
  <si>
    <t xml:space="preserve">3-4BR pool, $475-600k</t>
  </si>
  <si>
    <t xml:space="preserve">~$51-55k</t>
  </si>
  <si>
    <t xml:space="preserve">$50-90k (documented picks $73-89k)</t>
  </si>
  <si>
    <t xml:space="preserve">1.0-1.6</t>
  </si>
  <si>
    <t xml:space="preserve">Uninc. Manatee: no ordinance yet (draft pending); City of Bradenton certificate</t>
  </si>
  <si>
    <t xml:space="preserve">Manatee bed tax record $4.61M (Jun 2026, +27.6%); AMI demand spillover</t>
  </si>
  <si>
    <t xml:space="preserve">Pending county ordinance; flood zones near bays</t>
  </si>
  <si>
    <t xml:space="preserve">BEST: current #1-#3 picks</t>
  </si>
  <si>
    <t xml:space="preserve">Pinellas: unincorporated (Seminole/Largo/Lealman areas) + Largo (33770-33778, 33714)</t>
  </si>
  <si>
    <t xml:space="preserve">3-4BR pool, $450-650k</t>
  </si>
  <si>
    <t xml:space="preserve">~$48-55k</t>
  </si>
  <si>
    <t xml:space="preserve">$50-85k (documented listings)</t>
  </si>
  <si>
    <t xml:space="preserve">Unincorporated: legal w/ Certificate of Use $450/yr + $150 inspection, max 10 guests; Largo legal</t>
  </si>
  <si>
    <t xml:space="preserve">Record spring 2026 tourist tax ($36.16M Feb-Apr); county 3.5 months supply</t>
  </si>
  <si>
    <t xml:space="preserve">Helene/Milton flooding; mailing city != jurisdiction (verify parcel)</t>
  </si>
  <si>
    <t xml:space="preserve">STRONG: see Pinellas tab</t>
  </si>
  <si>
    <t xml:space="preserve">2b</t>
  </si>
  <si>
    <t xml:space="preserve">Indian Rocks Beach / Indian Shores (33785)</t>
  </si>
  <si>
    <t xml:space="preserve">3-4BR house (SFH median ~$895k)</t>
  </si>
  <si>
    <t xml:space="preserve">~$60-70k</t>
  </si>
  <si>
    <t xml:space="preserve">$63-64k avg (AirROI); good 3-4BR $70-100k</t>
  </si>
  <si>
    <t xml:space="preserve">~1.0-1.4</t>
  </si>
  <si>
    <t xml:space="preserve">IRB: registration $300 + $150 inspection, 2026 crackdown; Indian Shores likely legal</t>
  </si>
  <si>
    <t xml:space="preserve">Beach-front demand; legal nightly</t>
  </si>
  <si>
    <t xml:space="preserve">Few houses under $700k; older ground-level homes = 50% rule + flood $12-15k</t>
  </si>
  <si>
    <t xml:space="preserve">Target only if a house appears &lt;= $700k</t>
  </si>
  <si>
    <t xml:space="preserve">2c</t>
  </si>
  <si>
    <t xml:space="preserve">Pinellas barrier towns: St. Pete Beach, Treasure Island RU-75, Madeira R-1/R-2, Redington Shores, Clearwater residential</t>
  </si>
  <si>
    <t xml:space="preserve">30 days to 6-month minimums (grandfathered pre-2011)</t>
  </si>
  <si>
    <t xml:space="preserve">Nightly history there may be illegal</t>
  </si>
  <si>
    <t xml:space="preserve">Avoid for STR-income DSCR</t>
  </si>
  <si>
    <t xml:space="preserve">Cape Coral Gulf-access canals (33904, 33914, S. 33991)</t>
  </si>
  <si>
    <t xml:space="preserve">3-4BR pool, ~$575k</t>
  </si>
  <si>
    <t xml:space="preserve">$55.6k</t>
  </si>
  <si>
    <t xml:space="preserve">$50-65k</t>
  </si>
  <si>
    <t xml:space="preserve">0.90-1.17</t>
  </si>
  <si>
    <t xml:space="preserve">City registration $350/yr since 1/1/2026; no minimum stay; few HOAs</t>
  </si>
  <si>
    <t xml:space="preserve">Lee bed tax +11.8% YoY (Aug 2026); months supply 7.0 -&gt; 4.8; prices bottomed (+1-3% YoY)</t>
  </si>
  <si>
    <t xml:space="preserve">STR supply +19%; ADR down ~6.6%; AE flood $3-8k; Ian flood history</t>
  </si>
  <si>
    <t xml:space="preserve">Best non-Tampa-Bay alternative</t>
  </si>
  <si>
    <t xml:space="preserve">1b</t>
  </si>
  <si>
    <t xml:space="preserve">Cape Coral freshwater canals (33909, 33993, 33990)</t>
  </si>
  <si>
    <t xml:space="preserve">3BR pool, ~$425k</t>
  </si>
  <si>
    <t xml:space="preserve">$41.3k (+$3.4k if assessed)</t>
  </si>
  <si>
    <t xml:space="preserve">$38-48k</t>
  </si>
  <si>
    <t xml:space="preserve">0.95-1.04</t>
  </si>
  <si>
    <t xml:space="preserve">Same as above</t>
  </si>
  <si>
    <t xml:space="preserve">Cheapest pool-home entry</t>
  </si>
  <si>
    <t xml:space="preserve">North Cape utility assessments (~$32k/lot); far from beach</t>
  </si>
  <si>
    <t xml:space="preserve">Value play</t>
  </si>
  <si>
    <t xml:space="preserve">Unincorporated Collier: East Naples / Golden Gate (34112, 34113, 34116)</t>
  </si>
  <si>
    <t xml:space="preserve">3-4BR pool, ~$625k</t>
  </si>
  <si>
    <t xml:space="preserve">$57.5k</t>
  </si>
  <si>
    <t xml:space="preserve">$48-65k</t>
  </si>
  <si>
    <t xml:space="preserve">0.83-1.13</t>
  </si>
  <si>
    <t xml:space="preserve">County registration only; no stay-length rule; HOAs common</t>
  </si>
  <si>
    <t xml:space="preserve">Naples ADR $333; inventory -20.7%</t>
  </si>
  <si>
    <t xml:space="preserve">6-10 mi to beach; gated HOAs ban STR; +1 cent TDT on Nov ballot</t>
  </si>
  <si>
    <t xml:space="preserve">Selective</t>
  </si>
  <si>
    <t xml:space="preserve">Fort Myers Beach (33931)</t>
  </si>
  <si>
    <t xml:space="preserve">Older/elevated house, ~$700k</t>
  </si>
  <si>
    <t xml:space="preserve">$68.9k</t>
  </si>
  <si>
    <t xml:space="preserve">$55-75k</t>
  </si>
  <si>
    <t xml:space="preserve">0.80-1.09</t>
  </si>
  <si>
    <t xml:space="preserve">Town registration $300; 2026 enforcement push</t>
  </si>
  <si>
    <t xml:space="preserve">Contrarian 2027 recovery play</t>
  </si>
  <si>
    <t xml:space="preserve">~22 months inventory; listings +18.7%, revenue -5.6%; VE zones + 50% rule</t>
  </si>
  <si>
    <t xml:space="preserve">Avoid for now</t>
  </si>
  <si>
    <t xml:space="preserve">Punta Gorda Isles / Burnt Store (33950, 33955)</t>
  </si>
  <si>
    <t xml:space="preserve">3BR Gulf-access pool, ~$525k</t>
  </si>
  <si>
    <t xml:space="preserve">$51.2k</t>
  </si>
  <si>
    <t xml:space="preserve">$40-52k</t>
  </si>
  <si>
    <t xml:space="preserve">0.78-1.02</t>
  </si>
  <si>
    <t xml:space="preserve">No county STR ordinance; BTR + 5% TDT; check deed restrictions</t>
  </si>
  <si>
    <t xml:space="preserve">Charlotte bed tax +17.6% YoY (Aug 2026); FY26 already &gt; FY25</t>
  </si>
  <si>
    <t xml:space="preserve">Listings +82% YoY (oversupply); home values -8.2% YoY</t>
  </si>
  <si>
    <t xml:space="preserve">Works only &lt;= $500k or &gt;= $50k documented</t>
  </si>
  <si>
    <t xml:space="preserve">Bonita Springs (34134, 34135)</t>
  </si>
  <si>
    <t xml:space="preserve">$60.0k</t>
  </si>
  <si>
    <t xml:space="preserve">$45-60k</t>
  </si>
  <si>
    <t xml:space="preserve">0.75-1.00</t>
  </si>
  <si>
    <t xml:space="preserve">City rental permit $100 / 3 yrs</t>
  </si>
  <si>
    <t xml:space="preserve">Thin pool-home data</t>
  </si>
  <si>
    <t xml:space="preserve">Marginal</t>
  </si>
  <si>
    <t xml:space="preserve">South Gulf Cove / Rotonda / Englewood-Charlotte (33981, 33947, 34224)</t>
  </si>
  <si>
    <t xml:space="preserve">3BR pool, ~$450k</t>
  </si>
  <si>
    <t xml:space="preserve">$44.3k</t>
  </si>
  <si>
    <t xml:space="preserve">$32-45k</t>
  </si>
  <si>
    <t xml:space="preserve">0.72-1.02</t>
  </si>
  <si>
    <t xml:space="preserve">No county ordinance; Rotonda deed-restricted</t>
  </si>
  <si>
    <t xml:space="preserve">Manasota Key renourishment Nov 2026-Apr 2027</t>
  </si>
  <si>
    <t xml:space="preserve">15-25 min to beach; Milton damage</t>
  </si>
  <si>
    <t xml:space="preserve">Port Charlotte waterways (33948, 33952, 33953)</t>
  </si>
  <si>
    <t xml:space="preserve">3BR pool, ~$375k</t>
  </si>
  <si>
    <t xml:space="preserve">$37.4k</t>
  </si>
  <si>
    <t xml:space="preserve">$26-36k</t>
  </si>
  <si>
    <t xml:space="preserve">0.70-0.96</t>
  </si>
  <si>
    <t xml:space="preserve">No county ordinance</t>
  </si>
  <si>
    <t xml:space="preserve">Weak revenue</t>
  </si>
  <si>
    <t xml:space="preserve">Avoid</t>
  </si>
  <si>
    <t xml:space="preserve">Hernando Beach / Weeki Wachee (34607)</t>
  </si>
  <si>
    <t xml:space="preserve">3BR canal, ~$500k</t>
  </si>
  <si>
    <t xml:space="preserve">$35-45k</t>
  </si>
  <si>
    <t xml:space="preserve">0.68-0.88</t>
  </si>
  <si>
    <t xml:space="preserve">No ordinance; 2-2 commission deadlock (Jul 2026)</t>
  </si>
  <si>
    <t xml:space="preserve">Helene 500+ homes damaged; 102-listing market</t>
  </si>
  <si>
    <t xml:space="preserve">Crystal River / Homosassa (34429, 34448)</t>
  </si>
  <si>
    <t xml:space="preserve">3BR waterfront, ~$425k</t>
  </si>
  <si>
    <t xml:space="preserve">$25-40k</t>
  </si>
  <si>
    <t xml:space="preserve">0.56-0.90</t>
  </si>
  <si>
    <t xml:space="preserve">Crystal River 3-month min outside one zone; county ordinance pending</t>
  </si>
  <si>
    <t xml:space="preserve">Helene flooding 300+ homes</t>
  </si>
  <si>
    <t xml:space="preserve">Apollo Beach (Hillsborough)</t>
  </si>
  <si>
    <t xml:space="preserve">3BR canal pool, ~$575k</t>
  </si>
  <si>
    <t xml:space="preserve">$55.2k</t>
  </si>
  <si>
    <t xml:space="preserve">$31-45k</t>
  </si>
  <si>
    <t xml:space="preserve">~0.69</t>
  </si>
  <si>
    <t xml:space="preserve">7-night county minimum; registration proposed</t>
  </si>
  <si>
    <t xml:space="preserve">Low DSCR</t>
  </si>
  <si>
    <t xml:space="preserve">Pasco: Hudson / New Port Richey / Holiday</t>
  </si>
  <si>
    <t xml:space="preserve">3BR waterfront, ~$400k</t>
  </si>
  <si>
    <t xml:space="preserve">$41.4k</t>
  </si>
  <si>
    <t xml:space="preserve">$20-30k</t>
  </si>
  <si>
    <t xml:space="preserve">~0.60</t>
  </si>
  <si>
    <t xml:space="preserve">Ord. 99-21: STR only in authorized subdivisions/conditional use</t>
  </si>
  <si>
    <t xml:space="preserve">ADR ~$153; Helene 6-9 ft surge</t>
  </si>
  <si>
    <t xml:space="preserve">Marco Island, Sanibel/Captiva, Boca Grande, City of Naples</t>
  </si>
  <si>
    <t xml:space="preserve">$1.3-2.9M</t>
  </si>
  <si>
    <t xml:space="preserve">&lt;0.6</t>
  </si>
  <si>
    <t xml:space="preserve">Sanibel 28-day min; City of Naples 30-day min</t>
  </si>
  <si>
    <t xml:space="preserve">Out of budget</t>
  </si>
  <si>
    <t xml:space="preserve">Florida Keys Submarkets: Rules, Revenue, Verdict</t>
  </si>
  <si>
    <t xml:space="preserve">Vendor data conflicts 30-100% (AirDNA vs AirROI vs Chalet); ranges shown. Gross needed for DSCR 1.0 after an 80% haircut at 25% down ~7.25%: ~$68k ($500k), ~$87k ($700k), ~$105k ($900k), plus HOA x 15 for condos.</t>
  </si>
  <si>
    <t xml:space="preserve">Submarket</t>
  </si>
  <si>
    <t xml:space="preserve">STR rule (verify per parcel)</t>
  </si>
  <si>
    <t xml:space="preserve">Avg annual revenue</t>
  </si>
  <si>
    <t xml:space="preserve">ADR</t>
  </si>
  <si>
    <t xml:space="preserve">Occupancy</t>
  </si>
  <si>
    <t xml:space="preserve">Listings</t>
  </si>
  <si>
    <t xml:space="preserve">Verdict for this buyer</t>
  </si>
  <si>
    <t xml:space="preserve">KEYS-WIDE 2026 (context)</t>
  </si>
  <si>
    <t xml:space="preserve">Mixed; verify per parcel</t>
  </si>
  <si>
    <t xml:space="preserve">Median SFH ~$1.02M, condo ~$610k (Aug 2026)</t>
  </si>
  <si>
    <t xml:space="preserve">~6,500 STR listings</t>
  </si>
  <si>
    <t xml:space="preserve">Balanced-to-buyer-leaning: prices flat (+/-5%), DOM 100-150, ~6.6 months supply (single source); condos favor buyers. Bed tax FY25 $60.8M (-1%); RevPAR ~+10% YTD 2026</t>
  </si>
  <si>
    <t xml:space="preserve">Insurance ($12k+ house) + HOA ($800-2,000 condo) are the DSCR killers</t>
  </si>
  <si>
    <t xml:space="preserve">Marathon (city)</t>
  </si>
  <si>
    <t xml:space="preserve">Licensed; 7-night minimum; annual per-unit license</t>
  </si>
  <si>
    <t xml:space="preserve">$56-89k (AirROI/AirDNA/Airbtics)</t>
  </si>
  <si>
    <t xml:space="preserve">$355-534</t>
  </si>
  <si>
    <t xml:space="preserve">39-68%</t>
  </si>
  <si>
    <t xml:space="preserve">~830-1,200</t>
  </si>
  <si>
    <t xml:space="preserve">3BR canal $68-84k; 4BR canal + pool + dock $140-180k (manager est.)</t>
  </si>
  <si>
    <t xml:space="preserve">BEST Keys fit IF a licensed 3-4BR canal home appears &lt;= ~$900k</t>
  </si>
  <si>
    <t xml:space="preserve">Key Colony Beach (city)</t>
  </si>
  <si>
    <t xml:space="preserve">Weekly (7-night, Sat-Sat) allowed in many buildings</t>
  </si>
  <si>
    <t xml:space="preserve">$45-85k; top $145-212k</t>
  </si>
  <si>
    <t xml:space="preserve">$342-399</t>
  </si>
  <si>
    <t xml:space="preserve">62-68%</t>
  </si>
  <si>
    <t xml:space="preserve">~600</t>
  </si>
  <si>
    <t xml:space="preserve">Condos: KCB Club (2023, weekly) ~$684-800k; Casa Clara 14-day ~$489-650k</t>
  </si>
  <si>
    <t xml:space="preserve">Good for weekly condos; check HOA + milestone inspections</t>
  </si>
  <si>
    <t xml:space="preserve">Duck Key / Hawks Cay</t>
  </si>
  <si>
    <t xml:space="preserve">Resort units daily via resort program; SFH likely 28-day</t>
  </si>
  <si>
    <t xml:space="preserve">$52.6k avg vs &gt;$130k whole homes (conflict)</t>
  </si>
  <si>
    <t xml:space="preserve">$539</t>
  </si>
  <si>
    <t xml:space="preserve">37%</t>
  </si>
  <si>
    <t xml:space="preserve">72</t>
  </si>
  <si>
    <t xml:space="preserve">Resort program = condotel; HOA ~$1,400+</t>
  </si>
  <si>
    <t xml:space="preserve">Only with condotel-capable DSCR lender</t>
  </si>
  <si>
    <t xml:space="preserve">Key West (city)</t>
  </si>
  <si>
    <t xml:space="preserve">&lt;30 days needs a transient license (capped); else 30-day+</t>
  </si>
  <si>
    <t xml:space="preserve">$81-108k</t>
  </si>
  <si>
    <t xml:space="preserve">$420-722</t>
  </si>
  <si>
    <t xml:space="preserve">46-72%</t>
  </si>
  <si>
    <t xml:space="preserve">~1,000-4,900</t>
  </si>
  <si>
    <t xml:space="preserve">Transient condos from ~$820-900k (Sunrise Suites); Old Town $1M+; Truman Annex special licenses voided</t>
  </si>
  <si>
    <t xml:space="preserve">Stretch only; license must attach to the unit</t>
  </si>
  <si>
    <t xml:space="preserve">Stock Island</t>
  </si>
  <si>
    <t xml:space="preserve">County permit; limited allocations</t>
  </si>
  <si>
    <t xml:space="preserve">$75-124k</t>
  </si>
  <si>
    <t xml:space="preserve">$470-822</t>
  </si>
  <si>
    <t xml:space="preserve">47-60%</t>
  </si>
  <si>
    <t xml:space="preserve">~110</t>
  </si>
  <si>
    <t xml:space="preserve">Thin inventory</t>
  </si>
  <si>
    <t xml:space="preserve">Verify permits; rare</t>
  </si>
  <si>
    <t xml:space="preserve">Islamorada (village)</t>
  </si>
  <si>
    <t xml:space="preserve">License cap 331; license ends at deed transfer; 7-night min; value floors $708k-$1.06M</t>
  </si>
  <si>
    <t xml:space="preserve">$49-92k; 4BR ~$157k (thin)</t>
  </si>
  <si>
    <t xml:space="preserve">$591-624</t>
  </si>
  <si>
    <t xml:space="preserve">36-51%</t>
  </si>
  <si>
    <t xml:space="preserve">~330-1,300</t>
  </si>
  <si>
    <t xml:space="preserve">Cheeca Lodge condo-hotel units $549-715k (28 owner days)</t>
  </si>
  <si>
    <t xml:space="preserve">Houses likely &gt;$1M; condo-hotel = specialty financing</t>
  </si>
  <si>
    <t xml:space="preserve">Key Largo / Tavernier (unincorporated)</t>
  </si>
  <si>
    <t xml:space="preserve">Vacation rentals banned in IS/IS-M/URM zoning; county permit $1,040/yr (Aug 2026), non-transferable; exempt complexes only</t>
  </si>
  <si>
    <t xml:space="preserve">$35-65k</t>
  </si>
  <si>
    <t xml:space="preserve">$329-390</t>
  </si>
  <si>
    <t xml:space="preserve">36-61%</t>
  </si>
  <si>
    <t xml:space="preserve">~600-900</t>
  </si>
  <si>
    <t xml:space="preserve">Ocean Pointe (Tavernier) + Kawama/Mariners (Key Largo) allow short stays</t>
  </si>
  <si>
    <t xml:space="preserve">Condos in exempt complexes only (see tab)</t>
  </si>
  <si>
    <t xml:space="preserve">Big Pine / Lower Keys (Summerland, Cudjoe, Ramrod, Sugarloaf)</t>
  </si>
  <si>
    <t xml:space="preserve">Mostly IS zoning = 28-day minimum; ~handful of legal STRs</t>
  </si>
  <si>
    <t xml:space="preserve">Big Pine $28-46k; Summerland $63-78k</t>
  </si>
  <si>
    <t xml:space="preserve">$285-535</t>
  </si>
  <si>
    <t xml:space="preserve">40-67%</t>
  </si>
  <si>
    <t xml:space="preserve">~60-460</t>
  </si>
  <si>
    <t xml:space="preserve">Seasonal 28-day model; lenders may use LTR market rent</t>
  </si>
  <si>
    <t xml:space="preserve">Does not pencil at $500k+ with Keys insurance</t>
  </si>
  <si>
    <t xml:space="preserve">STR / Minimum-Stay Rules by Jurisdiction</t>
  </si>
  <si>
    <t xml:space="preserve">Verify with the city/county before contract; pre-2011 local bans survive FL preemption (F.S. 509.032(7)).</t>
  </si>
  <si>
    <t xml:space="preserve">Jurisdiction</t>
  </si>
  <si>
    <t xml:space="preserve">Min stay (SFH)</t>
  </si>
  <si>
    <t xml:space="preserve">Registration / cost</t>
  </si>
  <si>
    <t xml:space="preserve">Occupancy / other</t>
  </si>
  <si>
    <t xml:space="preserve">SFH nightly STR viable?</t>
  </si>
  <si>
    <t xml:space="preserve">Source</t>
  </si>
  <si>
    <t xml:space="preserve">Unincorporated (W. Bradenton, Cortez, Parrish, LWR-Manatee)</t>
  </si>
  <si>
    <t xml:space="preserve">None today</t>
  </si>
  <si>
    <t xml:space="preserve">No ordinance yet; draft: registration, inspections, ~$600/yr</t>
  </si>
  <si>
    <t xml:space="preserve">Pending ordinance</t>
  </si>
  <si>
    <t xml:space="preserve">Yes (rules pending)</t>
  </si>
  <si>
    <t xml:space="preserve">fox13news.com/news/manatee-county-short-term-rental-rules-cost</t>
  </si>
  <si>
    <t xml:space="preserve">City of Bradenton</t>
  </si>
  <si>
    <t xml:space="preserve">None found</t>
  </si>
  <si>
    <t xml:space="preserve">Certificate, Ord. 3093 (~$300 initial / $150 renewal)</t>
  </si>
  <si>
    <t xml:space="preserve">2/bedroom + 2 or 1 per 150 sf; max 12</t>
  </si>
  <si>
    <t xml:space="preserve">Yes</t>
  </si>
  <si>
    <t xml:space="preserve">cityofbradenton.com/vacarentals</t>
  </si>
  <si>
    <t xml:space="preserve">Anna Maria</t>
  </si>
  <si>
    <t xml:space="preserve">Annual, ~$104.78 per allowed occupant</t>
  </si>
  <si>
    <t xml:space="preserve">Lesser of 2/BR+2 or 8 total</t>
  </si>
  <si>
    <t xml:space="preserve">Yes (8-person cap)</t>
  </si>
  <si>
    <t xml:space="preserve">amisun.com</t>
  </si>
  <si>
    <t xml:space="preserve">Holmes Beach</t>
  </si>
  <si>
    <t xml:space="preserve">30 days in R-1/R-1AA; 7 nights R-2 to R-4</t>
  </si>
  <si>
    <t xml:space="preserve">2-yr certificate $545 ($782 proposed)</t>
  </si>
  <si>
    <t xml:space="preserve">2/BR or 6</t>
  </si>
  <si>
    <t xml:space="preserve">R-2+ only</t>
  </si>
  <si>
    <t xml:space="preserve">islandreal.com</t>
  </si>
  <si>
    <t xml:space="preserve">Bradenton Beach</t>
  </si>
  <si>
    <t xml:space="preserve">Not found</t>
  </si>
  <si>
    <t xml:space="preserve">TPLE lodging license (fee proposal pending)</t>
  </si>
  <si>
    <t xml:space="preserve">2/BR+2 discussed</t>
  </si>
  <si>
    <t xml:space="preserve">islander.org</t>
  </si>
  <si>
    <t xml:space="preserve">City of Sarasota</t>
  </si>
  <si>
    <t xml:space="preserve">7 nights</t>
  </si>
  <si>
    <t xml:space="preserve">Annual registration + annual reinspection; ~$500 new / $350 renewal</t>
  </si>
  <si>
    <t xml:space="preserve">2/BR+2, max 10</t>
  </si>
  <si>
    <t xml:space="preserve">Weekly only</t>
  </si>
  <si>
    <t xml:space="preserve">shumaker.com (Ord. 25-5560)</t>
  </si>
  <si>
    <t xml:space="preserve">Unincorporated (Siesta Key SFH, Gulf Gate, Nokomis, Osprey, Englewood)</t>
  </si>
  <si>
    <t xml:space="preserve">30 days (UDC 124-131, pre-2011)</t>
  </si>
  <si>
    <t xml:space="preserve">Only RMF zoning on barrier islands exempt</t>
  </si>
  <si>
    <t xml:space="preserve">No: seasonal only</t>
  </si>
  <si>
    <t xml:space="preserve">scgov.net code enforcement guide</t>
  </si>
  <si>
    <t xml:space="preserve">Sarasota/Manatee</t>
  </si>
  <si>
    <t xml:space="preserve">Longboat Key</t>
  </si>
  <si>
    <t xml:space="preserve">30 days (except tourism-zoned/grandfathered)</t>
  </si>
  <si>
    <t xml:space="preserve">$200 initial / $150 per 2 yrs</t>
  </si>
  <si>
    <t xml:space="preserve">No</t>
  </si>
  <si>
    <t xml:space="preserve">Town of Longboat Key FAQ</t>
  </si>
  <si>
    <t xml:space="preserve">Venice</t>
  </si>
  <si>
    <t xml:space="preserve">Transient use of SF districts restricted (Code 86-151)</t>
  </si>
  <si>
    <t xml:space="preserve">BTR</t>
  </si>
  <si>
    <t xml:space="preserve">Likely no: verify</t>
  </si>
  <si>
    <t xml:space="preserve">lajollacpa.org (Costello STVR)</t>
  </si>
  <si>
    <t xml:space="preserve">North Port</t>
  </si>
  <si>
    <t xml:space="preserve">State DBPR license + tax registration</t>
  </si>
  <si>
    <t xml:space="preserve">Likely yes</t>
  </si>
  <si>
    <t xml:space="preserve">airdna.co</t>
  </si>
  <si>
    <t xml:space="preserve">Both</t>
  </si>
  <si>
    <t xml:space="preserve">Guest taxes</t>
  </si>
  <si>
    <t xml:space="preserve">13% total: 6% tourist development + 7% sales tax. Manatee: owner remits TDT (no platform agreement).</t>
  </si>
  <si>
    <t xml:space="preserve">taxcollector.com; sarasotataxcollector.gov</t>
  </si>
  <si>
    <t xml:space="preserve">Unincorporated (Seminole/Largo/Palm Harbor/Tierra Verde areas)</t>
  </si>
  <si>
    <t xml:space="preserve">None</t>
  </si>
  <si>
    <t xml:space="preserve">Certificate of Use $450/yr + $150 inspection; re-inspect every 2 yrs</t>
  </si>
  <si>
    <t xml:space="preserve">2/BR + 2, max 10; 1 parking per 3 guests</t>
  </si>
  <si>
    <t xml:space="preserve">pinellas.gov/short-term-rental-certificate-of-use-faqs</t>
  </si>
  <si>
    <t xml:space="preserve">Largo</t>
  </si>
  <si>
    <t xml:space="preserve">Rules since 2018</t>
  </si>
  <si>
    <t xml:space="preserve">Occupancy cap, parking, fire inspection</t>
  </si>
  <si>
    <t xml:space="preserve">tampabay.com (2018)</t>
  </si>
  <si>
    <t xml:space="preserve">Indian Rocks Beach</t>
  </si>
  <si>
    <t xml:space="preserve">Annual registration $300 + $150 inspection + $25 BTR; 2026 crackdown (fines to $5k)</t>
  </si>
  <si>
    <t xml:space="preserve">Max 10 guests residential</t>
  </si>
  <si>
    <t xml:space="preserve">indian-rocks-beach.com VRR application (Jul 2026)</t>
  </si>
  <si>
    <t xml:space="preserve">Redington Beach</t>
  </si>
  <si>
    <t xml:space="preserve">Annual registration + inspection (Ord. 2025-02)</t>
  </si>
  <si>
    <t xml:space="preserve">2/BR, max 8; no events; max 3 cars</t>
  </si>
  <si>
    <t xml:space="preserve">Yes (strict)</t>
  </si>
  <si>
    <t xml:space="preserve">townofredingtonbeach.com</t>
  </si>
  <si>
    <t xml:space="preserve">Seminole (city) / Pinellas Park / Indian Shores</t>
  </si>
  <si>
    <t xml:space="preserve">Unverified</t>
  </si>
  <si>
    <t xml:space="preserve">Probably: verify</t>
  </si>
  <si>
    <t xml:space="preserve">pinellasrealtor.org; realtor blogs</t>
  </si>
  <si>
    <t xml:space="preserve">City of St. Petersburg</t>
  </si>
  <si>
    <t xml:space="preserve">&lt;30-day capped at 3/yr in residential (2001)</t>
  </si>
  <si>
    <t xml:space="preserve">BTR + DBPR</t>
  </si>
  <si>
    <t xml:space="preserve">No: 30-day+ only</t>
  </si>
  <si>
    <t xml:space="preserve">stpetecatalyst.com; bnbcalc.com</t>
  </si>
  <si>
    <t xml:space="preserve">St. Pete Beach</t>
  </si>
  <si>
    <t xml:space="preserve">&lt;30 days barred in most residential</t>
  </si>
  <si>
    <t xml:space="preserve">No registration (shelved Aug 2026)</t>
  </si>
  <si>
    <t xml:space="preserve">tampabaybeacons.com (Aug 2026)</t>
  </si>
  <si>
    <t xml:space="preserve">Treasure Island</t>
  </si>
  <si>
    <t xml:space="preserve">RU-75: &gt;2 occupancy changes/yr banned; RM-15: &gt;5</t>
  </si>
  <si>
    <t xml:space="preserve">BTR + DBPR + TDT</t>
  </si>
  <si>
    <t xml:space="preserve">No limits in CG, RFM-30, RFH-50, PR-MU</t>
  </si>
  <si>
    <t xml:space="preserve">Only commercial/resort parcels</t>
  </si>
  <si>
    <t xml:space="preserve">mytreasureisland.org</t>
  </si>
  <si>
    <t xml:space="preserve">Madeira Beach</t>
  </si>
  <si>
    <t xml:space="preserve">R-1: 6-month min; R-2: 3-month min</t>
  </si>
  <si>
    <t xml:space="preserve">Annual certificate + BTR + DBPR</t>
  </si>
  <si>
    <t xml:space="preserve">OK in R-3, C-1, C-3, C-4</t>
  </si>
  <si>
    <t xml:space="preserve">Only R-3/C parcels</t>
  </si>
  <si>
    <t xml:space="preserve">Madeira Beach Ord. 2015-13</t>
  </si>
  <si>
    <t xml:space="preserve">Redington Shores / N. Redington / Belleair Beach</t>
  </si>
  <si>
    <t xml:space="preserve">181 days / 90 days / 90 days</t>
  </si>
  <si>
    <t xml:space="preserve">townofredingtonshores.com; cityofbelleairbeach.com</t>
  </si>
  <si>
    <t xml:space="preserve">Clearwater (residential) / Dunedin / Gulfport</t>
  </si>
  <si>
    <t xml:space="preserve">31 days / banned in R zones / &gt;3 short stays per yr banned</t>
  </si>
  <si>
    <t xml:space="preserve">Clearwater Beach Tourist district OK</t>
  </si>
  <si>
    <t xml:space="preserve">No (except Tourist district)</t>
  </si>
  <si>
    <t xml:space="preserve">airbtics.com; dunedingov.com; mygulfport.us</t>
  </si>
  <si>
    <t xml:space="preserve">Cape Coral</t>
  </si>
  <si>
    <t xml:space="preserve">City registration $350/yr (since 1/1/2026)</t>
  </si>
  <si>
    <t xml:space="preserve">Few HOAs</t>
  </si>
  <si>
    <t xml:space="preserve">capecoral.gov</t>
  </si>
  <si>
    <t xml:space="preserve">Fort Myers Beach</t>
  </si>
  <si>
    <t xml:space="preserve">Town registration $300; 2026 enforcement on ~500 unregistered</t>
  </si>
  <si>
    <t xml:space="preserve">fortmyersbeachfl.gov/1024</t>
  </si>
  <si>
    <t xml:space="preserve">Bonita Springs</t>
  </si>
  <si>
    <t xml:space="preserve">Rental permit $100 / 3 yrs</t>
  </si>
  <si>
    <t xml:space="preserve">bonitasprings civiclive</t>
  </si>
  <si>
    <t xml:space="preserve">Sanibel</t>
  </si>
  <si>
    <t xml:space="preserve">28 days (houses)</t>
  </si>
  <si>
    <t xml:space="preserve">staywithstay.com</t>
  </si>
  <si>
    <t xml:space="preserve">County / Punta Gorda</t>
  </si>
  <si>
    <t xml:space="preserve">None (Punta Gorda ordinance shelved 2023)</t>
  </si>
  <si>
    <t xml:space="preserve">DBPR + BTR + 5% TDT</t>
  </si>
  <si>
    <t xml:space="preserve">Check deed restrictions (PGI, Rotonda)</t>
  </si>
  <si>
    <t xml:space="preserve">strprofitmap.com; wgcu.org</t>
  </si>
  <si>
    <t xml:space="preserve">Unincorporated Collier</t>
  </si>
  <si>
    <t xml:space="preserve">County STR registration</t>
  </si>
  <si>
    <t xml:space="preserve">Gated HOAs often ban</t>
  </si>
  <si>
    <t xml:space="preserve">collier.gov STVR registration</t>
  </si>
  <si>
    <t xml:space="preserve">City of Naples</t>
  </si>
  <si>
    <t xml:space="preserve">30 days (except 3x/yr)</t>
  </si>
  <si>
    <t xml:space="preserve">naplesgov.com/faqs/all/56161</t>
  </si>
  <si>
    <t xml:space="preserve">Pasco / Citrus / Hernando</t>
  </si>
  <si>
    <t xml:space="preserve">Pasco Ord. 99-21; Crystal River 3-month; Hernando none (2-2 deadlock)</t>
  </si>
  <si>
    <t xml:space="preserve">Varies</t>
  </si>
  <si>
    <t xml:space="preserve">bnbcalc.com; vrma.org</t>
  </si>
  <si>
    <t xml:space="preserve">Unincorporated (Key Largo, Tavernier, Big Pine, Lower Keys, Stock Island, Duck Key)</t>
  </si>
  <si>
    <t xml:space="preserve">&lt;28 days needs permit; BANNED in IS / IS-M / URM zoning (most canal subdivisions)</t>
  </si>
  <si>
    <t xml:space="preserve">Special Vacation Rental Permit $1,040 + manager license $340 (Aug 2026 forms); NOT transferable; DBPR + DOR + sewage cert</t>
  </si>
  <si>
    <t xml:space="preserve">Exempt: IS-V, gated HOA-controlled, multifamily w/ 24-hr on-site mgmt</t>
  </si>
  <si>
    <t xml:space="preserve">Only permitted districts/exempt complexes</t>
  </si>
  <si>
    <t xml:space="preserve">monroecounty-fl.gov/701/Special-Vacation-Rental-Program</t>
  </si>
  <si>
    <t xml:space="preserve">City of Key West</t>
  </si>
  <si>
    <t xml:space="preserve">&lt;29-30 days needs transient license + transient unit (capped, no new issuance)</t>
  </si>
  <si>
    <t xml:space="preserve">Transfers via DRC + Planning Board ($6,164.77 fee); license value ~$300-500k</t>
  </si>
  <si>
    <t xml:space="preserve">Truman Annex licenses voided 12/22/2025</t>
  </si>
  <si>
    <t xml:space="preserve">Only licensed units</t>
  </si>
  <si>
    <t xml:space="preserve">cityofkeywest-fl.gov FAQ; keysweekly.com</t>
  </si>
  <si>
    <t xml:space="preserve">Village of Islamorada</t>
  </si>
  <si>
    <t xml:space="preserve">7-night min in residential; MU none</t>
  </si>
  <si>
    <t xml:space="preserve">License $1,325/yr; cap 331; NOT transferable</t>
  </si>
  <si>
    <t xml:space="preserve">Assessed value floor &gt;= $708k (RH/MU) or $1.062M (RC/RL/A) for 2026</t>
  </si>
  <si>
    <t xml:space="preserve">Rarely under $950k</t>
  </si>
  <si>
    <t xml:space="preserve">islamorada.fl.us/315</t>
  </si>
  <si>
    <t xml:space="preserve">City of Marathon</t>
  </si>
  <si>
    <t xml:space="preserve">7 nights (grandfathered)</t>
  </si>
  <si>
    <t xml:space="preserve">License $1,200 new / $1,100 renew (&lt;=2BR; more for 3BR+); NO cap; transfer fee within 30 days of sale</t>
  </si>
  <si>
    <t xml:space="preserve">Fire Marshal life-safety inspection; agent license</t>
  </si>
  <si>
    <t xml:space="preserve">Yes (weekly)</t>
  </si>
  <si>
    <t xml:space="preserve">keysweekly.com (Mar 2026)</t>
  </si>
  <si>
    <t xml:space="preserve">Key Colony Beach</t>
  </si>
  <si>
    <t xml:space="preserve">7 nights (Sat-Sat) in R-1/R-2</t>
  </si>
  <si>
    <t xml:space="preserve">Rental program Ch. 9; BTR</t>
  </si>
  <si>
    <t xml:space="preserve">Fines to $250/day</t>
  </si>
  <si>
    <t xml:space="preserve">keycolonybeach.net (Sep 2024)</t>
  </si>
  <si>
    <t xml:space="preserve">City of Layton (Long Key)</t>
  </si>
  <si>
    <t xml:space="preserve">Reportedly 90 days in residential (unverified)</t>
  </si>
  <si>
    <t xml:space="preserve">Assume no</t>
  </si>
  <si>
    <t xml:space="preserve">movingtothefloridakeys.com</t>
  </si>
  <si>
    <t xml:space="preserve">12.5% total: 7.5% sales (6% state + 1.5% Monroe) + 5% TDT</t>
  </si>
  <si>
    <t xml:space="preserve">keysweekly.com</t>
  </si>
  <si>
    <t xml:space="preserve">Ask Every Listing Agent Before Writing an Offer</t>
  </si>
  <si>
    <t xml:space="preserve">Send as one request; lender pre-reviews payouts before inspection period ends.</t>
  </si>
  <si>
    <t xml:space="preserve">#</t>
  </si>
  <si>
    <t xml:space="preserve">Item</t>
  </si>
  <si>
    <t xml:space="preserve">Why it matters</t>
  </si>
  <si>
    <t xml:space="preserve">12-24 months of Airbnb/VRBO payout reports or PM owner statements</t>
  </si>
  <si>
    <t xml:space="preserve">Proves income for DSCR; gross must exclude 13% taxes; break out cleaning fees and platform-fee basis.</t>
  </si>
  <si>
    <t xml:space="preserve">Tourist development tax filings (county tax collector)</t>
  </si>
  <si>
    <t xml:space="preserve">Independent cross-check of the payouts.</t>
  </si>
  <si>
    <t xml:space="preserve">Future bookings ledger + whether bookings convey</t>
  </si>
  <si>
    <t xml:space="preserve">Day-one income; assign or refund deposits at closing.</t>
  </si>
  <si>
    <t xml:space="preserve">FEMA flood zone + elevation certificate</t>
  </si>
  <si>
    <t xml:space="preserve">AE vs X changes flood premium by ~$3.5k/yr and DSCR by ~0.08x.</t>
  </si>
  <si>
    <t xml:space="preserve">CLUE report + any Helene/Milton damage, repairs, permits</t>
  </si>
  <si>
    <t xml:space="preserve">FEMA 50% substantial-improvement rule; hidden flood history.</t>
  </si>
  <si>
    <t xml:space="preserve">Current insurance declarations page (carrier, premium, wind/flood)</t>
  </si>
  <si>
    <t xml:space="preserve">Real premium vs model; insurability as an STR.</t>
  </si>
  <si>
    <t xml:space="preserve">Local STR registration/certificate + any code violations</t>
  </si>
  <si>
    <t xml:space="preserve">Confirms legal operation; transfer requirements.</t>
  </si>
  <si>
    <t xml:space="preserve">Furniture/equipment inventory list</t>
  </si>
  <si>
    <t xml:space="preserve">Conveys by contract (not financeable); value for tax basis.</t>
  </si>
  <si>
    <t xml:space="preserve">Utility bills (12 months)</t>
  </si>
  <si>
    <t xml:space="preserve">Validates the $6k/yr fixed-cost assumption.</t>
  </si>
  <si>
    <t xml:space="preserve">Property-manager / cleaner contacts and terms</t>
  </si>
  <si>
    <t xml:space="preserve">Continuity; co-host at 10-15% is what makes cash flow work.</t>
  </si>
  <si>
    <t xml:space="preserve">Sources and Notes</t>
  </si>
  <si>
    <t xml:space="preserve">Research compiled 2026-10-18.</t>
  </si>
  <si>
    <t xml:space="preserve">Topic</t>
  </si>
  <si>
    <t xml:space="preserve">Source / Note</t>
  </si>
  <si>
    <t xml:space="preserve">URL</t>
  </si>
  <si>
    <t xml:space="preserve">Listings (PropertyRadar)</t>
  </si>
  <si>
    <t xml:space="preserve">PropertyRadar API v1, 2026-10-19: 193 listed absentee-owned SFRs bought (193 credits); counts free. Property facts only, no owner contact data. See PropertyRadar tab.</t>
  </si>
  <si>
    <t xml:space="preserve">Zillow (igolaizola/zillow-scraper-ppe + maxcopell detail scraper via Apify): remarks, price + tax history</t>
  </si>
  <si>
    <t xml:space="preserve">Redfin listing pages (flood score, status, price history)</t>
  </si>
  <si>
    <t xml:space="preserve">8404 43rd Ave Ter W</t>
  </si>
  <si>
    <t xml:space="preserve">STR newsletter feature (Sep 29, 2026)</t>
  </si>
  <si>
    <t xml:space="preserve">STR benchmarks</t>
  </si>
  <si>
    <t xml:space="preserve">Rabbu market pages (T12 to Apr 2026)</t>
  </si>
  <si>
    <t xml:space="preserve">AirROI / Airbtics / AirDNA public market pages</t>
  </si>
  <si>
    <t xml:space="preserve">DSCR terms</t>
  </si>
  <si>
    <t xml:space="preserve">Angel Oak STR program (80% at 720+, DSCR &gt;= 1.0)</t>
  </si>
  <si>
    <t xml:space="preserve">Deephaven STR income: 12-mo receipts net of mgmt</t>
  </si>
  <si>
    <t xml:space="preserve">Rates</t>
  </si>
  <si>
    <t xml:space="preserve">Freddie Mac PMMS 30-yr 7.40% (10/15/2026)</t>
  </si>
  <si>
    <t xml:space="preserve">Insurance</t>
  </si>
  <si>
    <t xml:space="preserve">Citizens: flood required on wind policies by 1/1/2027</t>
  </si>
  <si>
    <t xml:space="preserve">Market</t>
  </si>
  <si>
    <t xml:space="preserve">RASM Q3 2026 market report</t>
  </si>
  <si>
    <t xml:space="preserve">Pinellas rules</t>
  </si>
  <si>
    <t xml:space="preserve">Pinellas County STR Certificate of Use FAQ</t>
  </si>
  <si>
    <t xml:space="preserve">Treasure Island STR information</t>
  </si>
  <si>
    <t xml:space="preserve">Pinellas tourism</t>
  </si>
  <si>
    <t xml:space="preserve">Record spring 2026 tourist tax ($36.16M Feb-Apr)</t>
  </si>
  <si>
    <t xml:space="preserve">Pinellas market</t>
  </si>
  <si>
    <t xml:space="preserve">Pinellas REALTOR July 2026 stats (3.5 months supply)</t>
  </si>
  <si>
    <t xml:space="preserve">AirROI Cape Coral market data</t>
  </si>
  <si>
    <t xml:space="preserve">City STR registration</t>
  </si>
  <si>
    <t xml:space="preserve">SWFL tourism</t>
  </si>
  <si>
    <t xml:space="preserve">FGCU tourist tax dashboard (Lee +11.8%, Charlotte +17.6% Aug 2026)</t>
  </si>
  <si>
    <t xml:space="preserve">Collier rules</t>
  </si>
  <si>
    <t xml:space="preserve">City of Naples 30-day rule FAQ</t>
  </si>
  <si>
    <t xml:space="preserve">Keys rules</t>
  </si>
  <si>
    <t xml:space="preserve">Monroe County Special Vacation Rental Program</t>
  </si>
  <si>
    <t xml:space="preserve">Islamorada vacation rental license (2026 value floor)</t>
  </si>
  <si>
    <t xml:space="preserve">Marathon license fees (Mar 2026)</t>
  </si>
  <si>
    <t xml:space="preserve">Key West transient license transfer application</t>
  </si>
  <si>
    <t xml:space="preserve">Truman Annex transient licenses voided</t>
  </si>
  <si>
    <t xml:space="preserve">Keys lending</t>
  </si>
  <si>
    <t xml:space="preserve">NQM Funding on Monroe County underwriting challenges</t>
  </si>
  <si>
    <t xml:space="preserve">Keys STR data</t>
  </si>
  <si>
    <t xml:space="preserve">AirDNA Marathon market overview</t>
  </si>
  <si>
    <t xml:space="preserve">Villa Paraiso: Marathon earnings by property type</t>
  </si>
  <si>
    <t xml:space="preserve">Keys tourism</t>
  </si>
  <si>
    <t xml:space="preserve">Visit Florida Keys partner newsletter (Sep 2026)</t>
  </si>
  <si>
    <t xml:space="preserve">Keys insurance</t>
  </si>
  <si>
    <t xml:space="preserve">OIR county averages (Monroe $7,863 w/ wind, Mar 2026)</t>
  </si>
  <si>
    <t xml:space="preserve">Citizens STR eligibility (ATB 006-14)</t>
  </si>
  <si>
    <t xml:space="preserve">Keys tax</t>
  </si>
  <si>
    <t xml:space="preserve">FL DOR millage comparison 2025</t>
  </si>
  <si>
    <t xml:space="preserve">Keys market</t>
  </si>
  <si>
    <t xml:space="preserve">KeysListings market report (Aug 2026)</t>
  </si>
  <si>
    <t xml:space="preserve">Keys storms</t>
  </si>
  <si>
    <t xml:space="preserve">Monroe County Irma recovery (1,179 destroyed / 2,977 major)</t>
  </si>
  <si>
    <t xml:space="preserve">Tourism</t>
  </si>
  <si>
    <t xml:space="preserve">Manatee June 2026 bed tax record $4.61M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</si>
</sst>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0\x"/>
    <numFmt numFmtId="167" formatCode="0"/>
    <numFmt numFmtId="168" formatCode="\$#,##0"/>
    <numFmt numFmtId="169" formatCode="0.000%"/>
    <numFmt numFmtId="170" formatCode="0.0%;\(0.0%\);\-"/>
    <numFmt numFmtId="171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563C1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zillow.com/homedetails/8404-43rd-Avenue-Ter-W-Bradenton-FL-34209/45762957_zpid/" TargetMode="External"/><Relationship Id="rId3" Type="http://schemas.openxmlformats.org/officeDocument/2006/relationships/hyperlink" Target="https://www.zillow.com/homedetails/5318-17th-St-W-Bradenton-FL-34207/45773289_zpid/" TargetMode="External"/><Relationship Id="rId4" Type="http://schemas.openxmlformats.org/officeDocument/2006/relationships/hyperlink" Target="https://www.zillow.com/homedetails/2801-23rd-Ave-W-Bradenton-FL-34205/45755850_zpid/" TargetMode="External"/><Relationship Id="rId5" Type="http://schemas.openxmlformats.org/officeDocument/2006/relationships/hyperlink" Target="https://www.zillow.com/homedetails/2245-Bahia-Vista-St-Sarasota-FL-34239/454647806_zpid/" TargetMode="External"/><Relationship Id="rId6" Type="http://schemas.openxmlformats.org/officeDocument/2006/relationships/hyperlink" Target="https://www.zillow.com/homedetails/1415-36th-St-W-Bradenton-FL-34205/45748314_zpid/" TargetMode="External"/><Relationship Id="rId7" Type="http://schemas.openxmlformats.org/officeDocument/2006/relationships/hyperlink" Target="https://www.zillow.com/homedetails/3409-18th-Avenue-Dr-W-Bradenton-FL-34205/45748742_zpid/" TargetMode="External"/><Relationship Id="rId8" Type="http://schemas.openxmlformats.org/officeDocument/2006/relationships/hyperlink" Target="https://www.zillow.com/homedetails/2142-Waldemere-St-Sarasota-FL-34239/47620052_zpid/" TargetMode="External"/><Relationship Id="rId9" Type="http://schemas.openxmlformats.org/officeDocument/2006/relationships/hyperlink" Target="https://www.zillow.com/homedetails/7405-12th-Ave-W-Bradenton-FL-34209/45745183_zpid/" TargetMode="External"/><Relationship Id="rId10" Type="http://schemas.openxmlformats.org/officeDocument/2006/relationships/hyperlink" Target="https://www.zillow.com/homedetails/2705-2nd-Ave-W-Bradenton-FL-34205/45741187_zpid/" TargetMode="External"/><Relationship Id="rId11" Type="http://schemas.openxmlformats.org/officeDocument/2006/relationships/hyperlink" Target="https://www.zillow.com/homedetails/4711-Hollingsworth-Ave-Sarasota-FL-34233/47500769_zpid/" TargetMode="External"/><Relationship Id="rId12" Type="http://schemas.openxmlformats.org/officeDocument/2006/relationships/hyperlink" Target="https://www.zillow.com/homedetails/4440-47th-Ave-W-102-Bradenton-FL-34210/45764495_zpid/" TargetMode="External"/><Relationship Id="rId13" Type="http://schemas.openxmlformats.org/officeDocument/2006/relationships/hyperlink" Target="https://www.zillow.com/homedetails/539-Forest-Way-539-Longboat-Key-FL-34228/465464113_zpid/" TargetMode="External"/><Relationship Id="rId14" Type="http://schemas.openxmlformats.org/officeDocument/2006/relationships/hyperlink" Target="https://www.zillow.com/homedetails/8403-13th-Ave-NW-Bradenton-FL-34209/45787788_zpid/" TargetMode="External"/><Relationship Id="rId15" Type="http://schemas.openxmlformats.org/officeDocument/2006/relationships/hyperlink" Target="https://www.zillow.com/homedetails/926-Plum-Tree-Ln-Sarasota-FL-34243/45782588_zpid/" TargetMode="External"/><Relationship Id="rId16" Type="http://schemas.openxmlformats.org/officeDocument/2006/relationships/hyperlink" Target="https://www.zillow.com/homedetails/2714-42nd-St-W-Bradenton-FL-34205/45757545_zpid/" TargetMode="External"/><Relationship Id="rId17" Type="http://schemas.openxmlformats.org/officeDocument/2006/relationships/hyperlink" Target="https://www.zillow.com/homedetails/120-60th-St-W-Bradenton-FL-34209/45743370_zpid/" TargetMode="External"/><Relationship Id="rId18" Type="http://schemas.openxmlformats.org/officeDocument/2006/relationships/hyperlink" Target="https://www.zillow.com/homedetails/1214-21st-St-W-Bradenton-FL-34205/45749331_zpid/" TargetMode="External"/><Relationship Id="rId19" Type="http://schemas.openxmlformats.org/officeDocument/2006/relationships/hyperlink" Target="https://www.zillow.com/homedetails/6215-Rodgers-Ave-Sarasota-FL-34231/47517098_zpid/" TargetMode="External"/><Relationship Id="rId20" Type="http://schemas.openxmlformats.org/officeDocument/2006/relationships/hyperlink" Target="https://www.zillow.com/homedetails/1664-Lakeview-Pl-Englewood-FL-34223/47591926_zpid/" TargetMode="External"/><Relationship Id="rId21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zillow.com/homedetails/12565-81st-Ave-Seminole-FL-33776/47213160_zpid/" TargetMode="External"/><Relationship Id="rId3" Type="http://schemas.openxmlformats.org/officeDocument/2006/relationships/hyperlink" Target="https://www.zillow.com/homedetails/4000-46th-St-N-Saint-Petersburg-FL-33714/46977274_zpid/" TargetMode="External"/><Relationship Id="rId4" Type="http://schemas.openxmlformats.org/officeDocument/2006/relationships/hyperlink" Target="https://www.zillow.com/homedetails/341-Wertz-Dr-Largo-FL-33771/47275524_zpid/" TargetMode="External"/><Relationship Id="rId5" Type="http://schemas.openxmlformats.org/officeDocument/2006/relationships/hyperlink" Target="https://www.zillow.com/homedetails/15305-1st-St-E-305-Madeira-Beach-FL-33708/338651387_zpid/" TargetMode="External"/><Relationship Id="rId6" Type="http://schemas.openxmlformats.org/officeDocument/2006/relationships/hyperlink" Target="https://www.zillow.com/homedetails/13235-Gulf-Blvd-502-Madeira-Beach-FL-33708/81401004_zpid/" TargetMode="External"/><Relationship Id="rId7" Type="http://schemas.openxmlformats.org/officeDocument/2006/relationships/hyperlink" Target="https://www.zillow.com/homedetails/17960-Gulf-Blvd-APT-121-Redington-Shores-FL-33708/47239950_zpid/" TargetMode="External"/><Relationship Id="rId8" Type="http://schemas.openxmlformats.org/officeDocument/2006/relationships/hyperlink" Target="https://www.zillow.com/homedetails/1904-Gulf-Blvd-APT-D-Indian-Rocks-Beach-FL-33785/46947494_zpid/" TargetMode="External"/><Relationship Id="rId9" Type="http://schemas.openxmlformats.org/officeDocument/2006/relationships/hyperlink" Target="https://www.zillow.com/homedetails/9542-Oakhurst-Rd-Seminole-FL-33776/47122217_zpid/" TargetMode="External"/><Relationship Id="rId10" Type="http://schemas.openxmlformats.org/officeDocument/2006/relationships/hyperlink" Target="https://www.zillow.com/homedetails/6400-Pelican-Dr-S-Saint-Petersburg-FL-33707/47217712_zpid/" TargetMode="External"/><Relationship Id="rId11" Type="http://schemas.openxmlformats.org/officeDocument/2006/relationships/hyperlink" Target="https://www.zillow.com/homedetails/7957-Cottonwoode-Dr-Largo-FL-33773/47057320_zpid/" TargetMode="External"/><Relationship Id="rId12" Type="http://schemas.openxmlformats.org/officeDocument/2006/relationships/hyperlink" Target="https://www.zillow.com/homedetails/8253-137th-Ln-Seminole-FL-33776/47224129_zpid/" TargetMode="External"/><Relationship Id="rId13" Type="http://schemas.openxmlformats.org/officeDocument/2006/relationships/hyperlink" Target="https://www.zillow.com/homedetails/4986-Woodland-Dr-Saint-Petersburg-FL-33708/46965358_zpid/" TargetMode="External"/><Relationship Id="rId14" Type="http://schemas.openxmlformats.org/officeDocument/2006/relationships/hyperlink" Target="https://www.zillow.com/homedetails/9370-83rd-St-N-Seminole-FL-33777/47167326_zpid/" TargetMode="External"/><Relationship Id="rId15" Type="http://schemas.openxmlformats.org/officeDocument/2006/relationships/hyperlink" Target="https://www.zillow.com/homedetails/166-Pinellas-Way-N-Saint-Petersburg-FL-33710/47125023_zpid/" TargetMode="External"/><Relationship Id="rId16" Type="http://schemas.openxmlformats.org/officeDocument/2006/relationships/hyperlink" Target="https://www.zillow.com/homedetails/14626-Wildwood-Dr-Largo-FL-33774/47108046_zpid/" TargetMode="External"/><Relationship Id="rId17" Type="http://schemas.openxmlformats.org/officeDocument/2006/relationships/hyperlink" Target="https://www.zillow.com/homedetails/1600-Loretta-Ave-NW-Largo-FL-33770/47255803_zpid/" TargetMode="External"/><Relationship Id="rId18" Type="http://schemas.openxmlformats.org/officeDocument/2006/relationships/hyperlink" Target="https://www.zillow.com/homedetails/863-Bay-Breeze-Ter-Largo-FL-33770/46984239_zpid/" TargetMode="External"/><Relationship Id="rId19" Type="http://schemas.openxmlformats.org/officeDocument/2006/relationships/hyperlink" Target="https://www.zillow.com/homedetails/8628-Magnolia-Dr-Seminole-FL-33777/47167775_zpid/" TargetMode="External"/><Relationship Id="rId20" Type="http://schemas.openxmlformats.org/officeDocument/2006/relationships/hyperlink" Target="https://www.zillow.com/homedetails/839-3rd-St-N-Safety-Harbor-FL-34695/46963615_zpid/" TargetMode="External"/><Relationship Id="rId21" Type="http://schemas.openxmlformats.org/officeDocument/2006/relationships/hyperlink" Target="https://www.zillow.com/homedetails/505-N-Highland-Ave-Clearwater-FL-33755/47049070_zpid/" TargetMode="External"/><Relationship Id="rId22" Type="http://schemas.openxmlformats.org/officeDocument/2006/relationships/hyperlink" Target="https://www.zillow.com/homedetails/414-Tampa-Rd-Palm-Harbor-FL-34683/47048713_zpid/" TargetMode="External"/><Relationship Id="rId2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zillow.com/homedetails/326-NW-21st-Ter-Cape-Coral-FL-33993/102966471_zpid/" TargetMode="External"/><Relationship Id="rId2" Type="http://schemas.openxmlformats.org/officeDocument/2006/relationships/hyperlink" Target="https://www.zillow.com/homedetails/370-Townhouse-Ln-APT-65-Captiva-FL-33924/45395109_zpid/" TargetMode="External"/><Relationship Id="rId3" Type="http://schemas.openxmlformats.org/officeDocument/2006/relationships/hyperlink" Target="https://www.zillow.com/homedetails/10345-Longshore-Rd-UNIT-31-Placida-FL-33946/463230076_zpid/" TargetMode="External"/><Relationship Id="rId4" Type="http://schemas.openxmlformats.org/officeDocument/2006/relationships/hyperlink" Target="https://www.redfin.com/FL/Cape-Coral/930-SW-37th-Ter-33914/home/61896750" TargetMode="External"/><Relationship Id="rId5" Type="http://schemas.openxmlformats.org/officeDocument/2006/relationships/hyperlink" Target="https://www.zillow.com/homedetails/2712-SW-4th-Place-Cpe-Coral-FL-33914/455169853_zpid/" TargetMode="External"/><Relationship Id="rId6" Type="http://schemas.openxmlformats.org/officeDocument/2006/relationships/hyperlink" Target="https://www.zillow.com/homedetails/1433-SE-28th-Ter-Cape-Coral-FL-33904/45531122_zpid/" TargetMode="External"/><Relationship Id="rId7" Type="http://schemas.openxmlformats.org/officeDocument/2006/relationships/hyperlink" Target="https://www.zillow.com/homedetails/4928-SW-1st-Ct-Cape-Coral-FL-33914/45441067_zpid/" TargetMode="External"/><Relationship Id="rId8" Type="http://schemas.openxmlformats.org/officeDocument/2006/relationships/hyperlink" Target="https://www.zillow.com/homedetails/2917-SW-Santa-Barbara-Pl-Cape-Coral-FL-33914/464974095_zpid/" TargetMode="External"/><Relationship Id="rId9" Type="http://schemas.openxmlformats.org/officeDocument/2006/relationships/hyperlink" Target="https://www.zillow.com/homedetails/3106-SE-8th-Pl-Cape-Coral-FL-33904/45531851_zpid/" TargetMode="External"/><Relationship Id="rId10" Type="http://schemas.openxmlformats.org/officeDocument/2006/relationships/hyperlink" Target="https://www.zillow.com/homedetails/1768-Whiskey-Creek-Dr-Fort-Myers-FL-33919/45446493_zpid/" TargetMode="External"/><Relationship Id="rId11" Type="http://schemas.openxmlformats.org/officeDocument/2006/relationships/hyperlink" Target="https://www.zillow.com/homedetails/951-Lassino-Ct-Punta-Gorda-FL-33950/43578868_zpid/" TargetMode="External"/><Relationship Id="rId12" Type="http://schemas.openxmlformats.org/officeDocument/2006/relationships/hyperlink" Target="https://www.zillow.com/homedetails/9277-Saint-Catherine-Ave-Englewood-FL-34224/43561455_zpid/" TargetMode="External"/><Relationship Id="rId13" Type="http://schemas.openxmlformats.org/officeDocument/2006/relationships/hyperlink" Target="https://www.zillow.com/homedetails/59-Wickliffe-Dr-Naples-FL-34110/43804624_zpid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bhhsfloridakeys.com/fl/1500-ocean-bay-drive-apt-e5-key-largo-33037/pid-435264786" TargetMode="External"/><Relationship Id="rId3" Type="http://schemas.openxmlformats.org/officeDocument/2006/relationships/hyperlink" Target="https://www.homes.com/tavernier-fl/condos-for-sale/" TargetMode="External"/><Relationship Id="rId4" Type="http://schemas.openxmlformats.org/officeDocument/2006/relationships/hyperlink" Target="https://www.homes.com/tavernier-fl/33070/" TargetMode="External"/><Relationship Id="rId5" Type="http://schemas.openxmlformats.org/officeDocument/2006/relationships/hyperlink" Target="https://www.coldwellbanker.com/fl/tavernier/500-burton-dr--4211/lid-P00800000HA6BapQCiEtwQxPLiathoJDuxcbNE1q" TargetMode="External"/><Relationship Id="rId6" Type="http://schemas.openxmlformats.org/officeDocument/2006/relationships/hyperlink" Target="https://www.redfin.com/FL/Marathon/8302-Marina-Villa-Dr-33050/unit-8302/home/185393314" TargetMode="External"/><Relationship Id="rId7" Type="http://schemas.openxmlformats.org/officeDocument/2006/relationships/hyperlink" Target="https://www.ezhomesearch.com/us/fl/tavernier/ocean-pointe-925/condos/" TargetMode="External"/><Relationship Id="rId8" Type="http://schemas.openxmlformats.org/officeDocument/2006/relationships/hyperlink" Target="https://www.globaltyinvestment.com/en/listings/1500-ocean-bay-dr-a1-key-largo-fl-33037-a12063168" TargetMode="External"/><Relationship Id="rId9" Type="http://schemas.openxmlformats.org/officeDocument/2006/relationships/hyperlink" Target="https://www.thenewhomespot.com/listing/619043-104350-overseas-highway-apt-a204-key-largo-fl-33037/" TargetMode="External"/><Relationship Id="rId10" Type="http://schemas.openxmlformats.org/officeDocument/2006/relationships/hyperlink" Target="https://www.compass.com/homedetails/500-Burton-Dr-Unit-2202-Tavernier-FL-33070/2155390008707811881_lid/" TargetMode="External"/><Relationship Id="rId11" Type="http://schemas.openxmlformats.org/officeDocument/2006/relationships/hyperlink" Target="https://www.lastkeyrealty.com/mls/618716/8204-Marina-Villas-Drive-Duck-Key-33050" TargetMode="External"/><Relationship Id="rId12" Type="http://schemas.openxmlformats.org/officeDocument/2006/relationships/hyperlink" Target="https://www.trulia.com/home/201-e-ocean-dr-312-key-colony-beach-fl-33051-465891337" TargetMode="External"/><Relationship Id="rId13" Type="http://schemas.openxmlformats.org/officeDocument/2006/relationships/hyperlink" Target="https://www.coldwellbanker.com/fl/key-west/3625-seaside-dr--25410/lid-P00800000HCEM436OUb2lfkyKPT7hdqwjJrnssKM" TargetMode="External"/><Relationship Id="rId14" Type="http://schemas.openxmlformats.org/officeDocument/2006/relationships/hyperlink" Target="https://www.homes.com/marathon-fl/houses-for-sale/p3/" TargetMode="External"/><Relationship Id="rId15" Type="http://schemas.openxmlformats.org/officeDocument/2006/relationships/hyperlink" Target="https://www.bexrealty.com/real-estate/Key-Largo/Mariners-Club/" TargetMode="External"/><Relationship Id="rId16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www.propertyradar.com/" TargetMode="External"/><Relationship Id="rId2" Type="http://schemas.openxmlformats.org/officeDocument/2006/relationships/hyperlink" Target="https://www.zillow.com/" TargetMode="External"/><Relationship Id="rId3" Type="http://schemas.openxmlformats.org/officeDocument/2006/relationships/hyperlink" Target="https://www.redfin.com/" TargetMode="External"/><Relationship Id="rId4" Type="http://schemas.openxmlformats.org/officeDocument/2006/relationships/hyperlink" Target="https://www.theoffersheet.com/p/85k-revenue-on-this-584k-bradenton-str" TargetMode="External"/><Relationship Id="rId5" Type="http://schemas.openxmlformats.org/officeDocument/2006/relationships/hyperlink" Target="https://rabbu.com/airbnb-data/bradenton-fl" TargetMode="External"/><Relationship Id="rId6" Type="http://schemas.openxmlformats.org/officeDocument/2006/relationships/hyperlink" Target="https://www.airroi.com/" TargetMode="External"/><Relationship Id="rId7" Type="http://schemas.openxmlformats.org/officeDocument/2006/relationships/hyperlink" Target="https://angeloakms.com/programs/investor-cash-flow-mortgage-program/" TargetMode="External"/><Relationship Id="rId8" Type="http://schemas.openxmlformats.org/officeDocument/2006/relationships/hyperlink" Target="https://deephavenmortgage.com/dscr-short-term-rental" TargetMode="External"/><Relationship Id="rId9" Type="http://schemas.openxmlformats.org/officeDocument/2006/relationships/hyperlink" Target="https://fred.stlouisfed.org/graph/?g=1XU7Y" TargetMode="External"/><Relationship Id="rId10" Type="http://schemas.openxmlformats.org/officeDocument/2006/relationships/hyperlink" Target="https://news4jax.com/news/local/2025/09/16/flood-insurance-will-be-mandatory-for-most-citizens-property-insurance-policyholders-by-2027" TargetMode="External"/><Relationship Id="rId11" Type="http://schemas.openxmlformats.org/officeDocument/2006/relationships/hyperlink" Target="https://www.myrasm.com/q3-2026" TargetMode="External"/><Relationship Id="rId12" Type="http://schemas.openxmlformats.org/officeDocument/2006/relationships/hyperlink" Target="https://pinellas.gov/short-term-rental-certificate-of-use-faqs/" TargetMode="External"/><Relationship Id="rId13" Type="http://schemas.openxmlformats.org/officeDocument/2006/relationships/hyperlink" Target="https://www.mytreasureisland.org/residents/departments/community_development/short_term_rental_information.php" TargetMode="External"/><Relationship Id="rId14" Type="http://schemas.openxmlformats.org/officeDocument/2006/relationships/hyperlink" Target="https://www.wusf.org/economy-business/2026-07-29/record-spring-fuels-pinellas-county-tourism-growth" TargetMode="External"/><Relationship Id="rId15" Type="http://schemas.openxmlformats.org/officeDocument/2006/relationships/hyperlink" Target="https://pinellasrealtor.org/wp-content/uploads/2026/08/Pinellas-STAR-Monthly-Statistics-July-2026.pdf" TargetMode="External"/><Relationship Id="rId16" Type="http://schemas.openxmlformats.org/officeDocument/2006/relationships/hyperlink" Target="https://www.airroi.com/airbnb-data/united-states/florida/cape-coral" TargetMode="External"/><Relationship Id="rId17" Type="http://schemas.openxmlformats.org/officeDocument/2006/relationships/hyperlink" Target="https://www.capecoral.gov/news_detail_T4_R565.php" TargetMode="External"/><Relationship Id="rId18" Type="http://schemas.openxmlformats.org/officeDocument/2006/relationships/hyperlink" Target="https://www.fgcu.edu/cob/reri/dashboard/tourist-tax-revenues" TargetMode="External"/><Relationship Id="rId19" Type="http://schemas.openxmlformats.org/officeDocument/2006/relationships/hyperlink" Target="https://www.naplesgov.com/faqs/all/56161" TargetMode="External"/><Relationship Id="rId20" Type="http://schemas.openxmlformats.org/officeDocument/2006/relationships/hyperlink" Target="https://www.monroecounty-fl.gov/701/Special-Vacation-Rental-Program" TargetMode="External"/><Relationship Id="rId21" Type="http://schemas.openxmlformats.org/officeDocument/2006/relationships/hyperlink" Target="https://www.islamorada.fl.us/315/Vacation-Rental-License-Annual-Registrat" TargetMode="External"/><Relationship Id="rId22" Type="http://schemas.openxmlformats.org/officeDocument/2006/relationships/hyperlink" Target="https://keysweekly.com/42/marathon-city-council-ups-vacation-rental-licensing-fees/" TargetMode="External"/><Relationship Id="rId23" Type="http://schemas.openxmlformats.org/officeDocument/2006/relationships/hyperlink" Target="https://www.cityofkeywest-fl.gov/DocumentCenter/View/7135/Transfer-of-Transient-Unit-License-PDF" TargetMode="External"/><Relationship Id="rId24" Type="http://schemas.openxmlformats.org/officeDocument/2006/relationships/hyperlink" Target="https://keysweekly.com/42/times-up-for-transient-rentals-in-key-wests-truman-annex/" TargetMode="External"/><Relationship Id="rId25" Type="http://schemas.openxmlformats.org/officeDocument/2006/relationships/hyperlink" Target="https://www.nqmf.com/florida-dscr-loans-for-investors-buying-in-insurance-volatile-markets-structuring-deals-in-high-risk-zones/" TargetMode="External"/><Relationship Id="rId26" Type="http://schemas.openxmlformats.org/officeDocument/2006/relationships/hyperlink" Target="https://www.airdna.co/vacation-rental-data/app/us/florida/marathon/overview" TargetMode="External"/><Relationship Id="rId27" Type="http://schemas.openxmlformats.org/officeDocument/2006/relationships/hyperlink" Target="https://paraisovacationrentals.com/how-much-can-an-airbnb-in-marathon-fl-earn/" TargetMode="External"/><Relationship Id="rId28" Type="http://schemas.openxmlformats.org/officeDocument/2006/relationships/hyperlink" Target="https://visitfloridakeys.com/industry-partners/partner-newsletter/sept-2026" TargetMode="External"/><Relationship Id="rId29" Type="http://schemas.openxmlformats.org/officeDocument/2006/relationships/hyperlink" Target="https://www.greeneinsurance.com/guides/florida-home-insurance-by-county" TargetMode="External"/><Relationship Id="rId30" Type="http://schemas.openxmlformats.org/officeDocument/2006/relationships/hyperlink" Target="https://securesupport.citizensfla.com/app/answers/detail/a_id/1914/~/agent-technical-bulletin-%23006-14:-personal-residential:-short-term-rental" TargetMode="External"/><Relationship Id="rId31" Type="http://schemas.openxmlformats.org/officeDocument/2006/relationships/hyperlink" Target="https://floridarevenue.com/property/Documents/MillCapComp25.pdf" TargetMode="External"/><Relationship Id="rId32" Type="http://schemas.openxmlformats.org/officeDocument/2006/relationships/hyperlink" Target="https://www.keyslistings.com/blog/florida-keys-real-estate-market-august-2026/" TargetMode="External"/><Relationship Id="rId33" Type="http://schemas.openxmlformats.org/officeDocument/2006/relationships/hyperlink" Target="https://www.monroecounty-fl.gov/612/Hurricane-Irma-Recovery" TargetMode="External"/><Relationship Id="rId34" Type="http://schemas.openxmlformats.org/officeDocument/2006/relationships/hyperlink" Target="https://www.islander.org/?p=8572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5.05" hidden="false" customHeight="false" outlineLevel="0" collapsed="false">
      <c r="A5" s="4" t="s">
        <v>14</v>
      </c>
      <c r="B5" s="5" t="str">
        <f aca="false">'Manatee-Sarasota'!$B$6</f>
        <v>8404 43rd Ave Terrace W</v>
      </c>
      <c r="C5" s="5" t="str">
        <f aca="false">'Manatee-Sarasota'!$C$6</f>
        <v>Bradenton 34209</v>
      </c>
      <c r="D5" s="6" t="n">
        <f aca="false">'Manatee-Sarasota'!$H$6</f>
        <v>560000</v>
      </c>
      <c r="E5" s="6" t="n">
        <f aca="false">'Manatee-Sarasota'!$K$6</f>
        <v>85000</v>
      </c>
      <c r="F5" s="6" t="n">
        <f aca="false">'Manatee-Sarasota'!$W$6</f>
        <v>4315.14037623601</v>
      </c>
      <c r="G5" s="7" t="n">
        <f aca="false">'Manatee-Sarasota'!$X$6</f>
        <v>1.64150704629265</v>
      </c>
      <c r="H5" s="7" t="n">
        <f aca="false">'Manatee-Sarasota'!$Y$6</f>
        <v>1.31320563703412</v>
      </c>
      <c r="I5" s="6" t="n">
        <f aca="false">'Manatee-Sarasota'!$Z$6</f>
        <v>145600</v>
      </c>
      <c r="J5" s="6" t="n">
        <f aca="false">'Manatee-Sarasota'!$AD$6</f>
        <v>4668.31548516793</v>
      </c>
      <c r="K5" s="6" t="n">
        <f aca="false">'Manatee-Sarasota'!$AE$6</f>
        <v>-12331.6845148321</v>
      </c>
      <c r="L5" s="8" t="s">
        <v>15</v>
      </c>
    </row>
    <row r="6" customFormat="false" ht="15" hidden="false" customHeight="false" outlineLevel="0" collapsed="false">
      <c r="A6" s="4" t="s">
        <v>14</v>
      </c>
      <c r="B6" s="5" t="str">
        <f aca="false">'Manatee-Sarasota'!$B$7</f>
        <v>5318 17th St W (duplex)</v>
      </c>
      <c r="C6" s="5" t="str">
        <f aca="false">'Manatee-Sarasota'!$C$7</f>
        <v>Bradenton 34207</v>
      </c>
      <c r="D6" s="6" t="n">
        <f aca="false">'Manatee-Sarasota'!$H$7</f>
        <v>460000</v>
      </c>
      <c r="E6" s="6" t="n">
        <f aca="false">'Manatee-Sarasota'!$K$7</f>
        <v>73000</v>
      </c>
      <c r="F6" s="6" t="n">
        <f aca="false">'Manatee-Sarasota'!$W$7</f>
        <v>3678.50816619386</v>
      </c>
      <c r="G6" s="7" t="n">
        <f aca="false">'Manatee-Sarasota'!$X$7</f>
        <v>1.65375012328102</v>
      </c>
      <c r="H6" s="7" t="n">
        <f aca="false">'Manatee-Sarasota'!$Y$7</f>
        <v>1.32300009862482</v>
      </c>
      <c r="I6" s="6" t="n">
        <f aca="false">'Manatee-Sarasota'!$Z$7</f>
        <v>133400</v>
      </c>
      <c r="J6" s="6" t="n">
        <f aca="false">'Manatee-Sarasota'!$AD$7</f>
        <v>4867.90200567366</v>
      </c>
      <c r="K6" s="6" t="n">
        <f aca="false">'Manatee-Sarasota'!$AE$7</f>
        <v>-9732.09799432635</v>
      </c>
      <c r="L6" s="9" t="s">
        <v>16</v>
      </c>
    </row>
    <row r="7" customFormat="false" ht="15" hidden="false" customHeight="false" outlineLevel="0" collapsed="false">
      <c r="A7" s="4" t="s">
        <v>14</v>
      </c>
      <c r="B7" s="5" t="str">
        <f aca="false">'Manatee-Sarasota'!$B$8</f>
        <v>2801 23rd Ave W ("Beachin' Escape")</v>
      </c>
      <c r="C7" s="5" t="str">
        <f aca="false">'Manatee-Sarasota'!$C$8</f>
        <v>Bradenton 34205</v>
      </c>
      <c r="D7" s="6" t="n">
        <f aca="false">'Manatee-Sarasota'!$H$8</f>
        <v>600000</v>
      </c>
      <c r="E7" s="6" t="n">
        <f aca="false">'Manatee-Sarasota'!$K$8</f>
        <v>89000</v>
      </c>
      <c r="F7" s="6" t="n">
        <f aca="false">'Manatee-Sarasota'!$W$8</f>
        <v>4569.79326025286</v>
      </c>
      <c r="G7" s="7" t="n">
        <f aca="false">'Manatee-Sarasota'!$X$8</f>
        <v>1.62297641146599</v>
      </c>
      <c r="H7" s="7" t="n">
        <f aca="false">'Manatee-Sarasota'!$Y$8</f>
        <v>1.29838112917279</v>
      </c>
      <c r="I7" s="6" t="n">
        <f aca="false">'Manatee-Sarasota'!$Z$8</f>
        <v>156000</v>
      </c>
      <c r="J7" s="6" t="n">
        <f aca="false">'Manatee-Sarasota'!$AD$8</f>
        <v>4692.48087696564</v>
      </c>
      <c r="K7" s="6" t="n">
        <f aca="false">'Manatee-Sarasota'!$AE$8</f>
        <v>-13107.5191230344</v>
      </c>
      <c r="L7" s="9" t="s">
        <v>17</v>
      </c>
    </row>
    <row r="8" customFormat="false" ht="23.85" hidden="false" customHeight="false" outlineLevel="0" collapsed="false">
      <c r="A8" s="4" t="s">
        <v>18</v>
      </c>
      <c r="B8" s="5" t="str">
        <f aca="false">Pinellas!$B$6</f>
        <v>12565 81st Ave</v>
      </c>
      <c r="C8" s="5" t="str">
        <f aca="false">Pinellas!$C$6</f>
        <v>Seminole 33776</v>
      </c>
      <c r="D8" s="6" t="n">
        <f aca="false">Pinellas!$H$6</f>
        <v>485000</v>
      </c>
      <c r="E8" s="6" t="n">
        <f aca="false">Pinellas!$K$6</f>
        <v>71000</v>
      </c>
      <c r="F8" s="6" t="n">
        <f aca="false">Pinellas!$W$6</f>
        <v>3878.08288537106</v>
      </c>
      <c r="G8" s="7" t="n">
        <f aca="false">Pinellas!$X$6</f>
        <v>1.52566792447515</v>
      </c>
      <c r="H8" s="7" t="n">
        <f aca="false">Pinellas!$Y$6</f>
        <v>1.22053433958012</v>
      </c>
      <c r="I8" s="6" t="n">
        <f aca="false">Pinellas!$Z$6</f>
        <v>140650</v>
      </c>
      <c r="J8" s="6" t="n">
        <f aca="false">Pinellas!$AD$6</f>
        <v>-866.994624452775</v>
      </c>
      <c r="K8" s="6" t="n">
        <f aca="false">Pinellas!$AE$6</f>
        <v>-15066.9946244528</v>
      </c>
      <c r="L8" s="9" t="s">
        <v>19</v>
      </c>
    </row>
    <row r="9" customFormat="false" ht="23.85" hidden="false" customHeight="false" outlineLevel="0" collapsed="false">
      <c r="A9" s="4" t="s">
        <v>18</v>
      </c>
      <c r="B9" s="5" t="str">
        <f aca="false">Pinellas!$B$7</f>
        <v>4000 46th St N</v>
      </c>
      <c r="C9" s="5" t="str">
        <f aca="false">Pinellas!$C$7</f>
        <v>St Petersburg 33714</v>
      </c>
      <c r="D9" s="6" t="n">
        <f aca="false">Pinellas!$H$7</f>
        <v>485000</v>
      </c>
      <c r="E9" s="6" t="n">
        <f aca="false">Pinellas!$K$7</f>
        <v>85000</v>
      </c>
      <c r="F9" s="6" t="n">
        <f aca="false">Pinellas!$W$7</f>
        <v>3878.08288537106</v>
      </c>
      <c r="G9" s="7" t="n">
        <f aca="false">Pinellas!$X$7</f>
        <v>1.8265038532449</v>
      </c>
      <c r="H9" s="7" t="n">
        <f aca="false">Pinellas!$Y$7</f>
        <v>1.46120308259592</v>
      </c>
      <c r="I9" s="6" t="n">
        <f aca="false">Pinellas!$Z$7</f>
        <v>140650</v>
      </c>
      <c r="J9" s="6" t="n">
        <f aca="false">Pinellas!$AD$7</f>
        <v>9913.00537554723</v>
      </c>
      <c r="K9" s="6" t="n">
        <f aca="false">Pinellas!$AE$7</f>
        <v>-7086.99462445278</v>
      </c>
      <c r="L9" s="9" t="s">
        <v>20</v>
      </c>
    </row>
    <row r="10" customFormat="false" ht="15" hidden="false" customHeight="false" outlineLevel="0" collapsed="false">
      <c r="A10" s="4" t="s">
        <v>18</v>
      </c>
      <c r="B10" s="5" t="str">
        <f aca="false">Pinellas!$B$8</f>
        <v>341 Wertz Dr</v>
      </c>
      <c r="C10" s="5" t="str">
        <f aca="false">Pinellas!$C$8</f>
        <v>Largo 33771</v>
      </c>
      <c r="D10" s="6" t="n">
        <f aca="false">Pinellas!$H$8</f>
        <v>340000</v>
      </c>
      <c r="E10" s="6" t="n">
        <f aca="false">Pinellas!$K$8</f>
        <v>51000</v>
      </c>
      <c r="F10" s="6" t="n">
        <f aca="false">Pinellas!$W$8</f>
        <v>2942.88284747662</v>
      </c>
      <c r="G10" s="7" t="n">
        <f aca="false">Pinellas!$X$8</f>
        <v>1.4441621431326</v>
      </c>
      <c r="H10" s="7" t="n">
        <f aca="false">Pinellas!$Y$8</f>
        <v>1.15532971450608</v>
      </c>
      <c r="I10" s="6" t="n">
        <f aca="false">Pinellas!$Z$8</f>
        <v>98600</v>
      </c>
      <c r="J10" s="6" t="n">
        <f aca="false">Pinellas!$AD$8</f>
        <v>-3244.59416971947</v>
      </c>
      <c r="K10" s="6" t="n">
        <f aca="false">Pinellas!$AE$8</f>
        <v>-13444.5941697195</v>
      </c>
      <c r="L10" s="9" t="s">
        <v>21</v>
      </c>
    </row>
    <row r="11" customFormat="false" ht="23.85" hidden="false" customHeight="false" outlineLevel="0" collapsed="false">
      <c r="A11" s="4" t="s">
        <v>22</v>
      </c>
      <c r="B11" s="5" t="str">
        <f aca="false">'Other SWFL Listings'!$B$6</f>
        <v>326 NW 21st Ter</v>
      </c>
      <c r="C11" s="5" t="str">
        <f aca="false">'Other SWFL Listings'!$C$6</f>
        <v>Cape Coral 33993</v>
      </c>
      <c r="D11" s="6" t="n">
        <f aca="false">'Other SWFL Listings'!$H$6</f>
        <v>460000</v>
      </c>
      <c r="E11" s="6" t="n">
        <f aca="false">'Other SWFL Listings'!$K$6</f>
        <v>60000</v>
      </c>
      <c r="F11" s="6" t="n">
        <f aca="false">'Other SWFL Listings'!$W$6</f>
        <v>3755.17483286053</v>
      </c>
      <c r="G11" s="7" t="n">
        <f aca="false">'Other SWFL Listings'!$X$6</f>
        <v>1.33149592829776</v>
      </c>
      <c r="H11" s="7" t="n">
        <f aca="false">'Other SWFL Listings'!$Y$6</f>
        <v>1.0651967426382</v>
      </c>
      <c r="I11" s="6" t="n">
        <f aca="false">'Other SWFL Listings'!$Z$6</f>
        <v>133400</v>
      </c>
      <c r="J11" s="6" t="n">
        <f aca="false">'Other SWFL Listings'!$AD$6</f>
        <v>-7862.09799432635</v>
      </c>
      <c r="K11" s="6" t="n">
        <f aca="false">'Other SWFL Listings'!$AE$6</f>
        <v>-19862.0979943264</v>
      </c>
      <c r="L11" s="9" t="s">
        <v>23</v>
      </c>
    </row>
    <row r="12" customFormat="false" ht="23.85" hidden="false" customHeight="false" outlineLevel="0" collapsed="false">
      <c r="A12" s="4" t="s">
        <v>24</v>
      </c>
      <c r="B12" s="5" t="str">
        <f aca="false">'Monroe (Keys)'!$B$7</f>
        <v>500 Burton Dr #2212 (Ocean Pointe)</v>
      </c>
      <c r="C12" s="5" t="str">
        <f aca="false">'Monroe (Keys)'!$C$7</f>
        <v>Tavernier 33070</v>
      </c>
      <c r="D12" s="6" t="n">
        <f aca="false">'Monroe (Keys)'!$H$7</f>
        <v>625000</v>
      </c>
      <c r="E12" s="6" t="n">
        <f aca="false">'Monroe (Keys)'!$K$7</f>
        <v>100000</v>
      </c>
      <c r="F12" s="6" t="n">
        <f aca="false">'Monroe (Keys)'!$W$7</f>
        <v>5390.49297943007</v>
      </c>
      <c r="G12" s="7" t="n">
        <f aca="false">'Monroe (Keys)'!$X$7</f>
        <v>1.54593158086525</v>
      </c>
      <c r="H12" s="7" t="n">
        <f aca="false">'Monroe (Keys)'!$Y$7</f>
        <v>1.2367452646922</v>
      </c>
      <c r="I12" s="6" t="n">
        <f aca="false">'Monroe (Keys)'!$Z$7</f>
        <v>181250</v>
      </c>
      <c r="J12" s="6" t="n">
        <f aca="false">'Monroe (Keys)'!$AD$7</f>
        <v>5114.08424683921</v>
      </c>
      <c r="K12" s="6" t="n">
        <f aca="false">'Monroe (Keys)'!$AE$7</f>
        <v>-14885.9157531608</v>
      </c>
      <c r="L12" s="9" t="s">
        <v>25</v>
      </c>
    </row>
    <row r="13" customFormat="false" ht="23.85" hidden="false" customHeight="false" outlineLevel="0" collapsed="false">
      <c r="A13" s="4" t="s">
        <v>24</v>
      </c>
      <c r="B13" s="5" t="str">
        <f aca="false">'Monroe (Keys)'!$B$6</f>
        <v>1500 Ocean Bay Dr #E5 (Kawama Yacht Club)</v>
      </c>
      <c r="C13" s="5" t="str">
        <f aca="false">'Monroe (Keys)'!$C$6</f>
        <v>Key Largo 33037</v>
      </c>
      <c r="D13" s="6" t="n">
        <f aca="false">'Monroe (Keys)'!$H$6</f>
        <v>760000</v>
      </c>
      <c r="E13" s="6" t="n">
        <f aca="false">'Monroe (Keys)'!$K$6</f>
        <v>98980</v>
      </c>
      <c r="F13" s="6" t="n">
        <f aca="false">'Monroe (Keys)'!$W$6</f>
        <v>5940.07146298696</v>
      </c>
      <c r="G13" s="7" t="n">
        <f aca="false">'Monroe (Keys)'!$X$6</f>
        <v>1.38859159939899</v>
      </c>
      <c r="H13" s="7" t="n">
        <f aca="false">'Monroe (Keys)'!$Y$6</f>
        <v>1.11087327951919</v>
      </c>
      <c r="I13" s="6" t="n">
        <f aca="false">'Monroe (Keys)'!$Z$6</f>
        <v>220400</v>
      </c>
      <c r="J13" s="6" t="n">
        <f aca="false">'Monroe (Keys)'!$AD$6</f>
        <v>-2266.25755584351</v>
      </c>
      <c r="K13" s="6" t="n">
        <f aca="false">'Monroe (Keys)'!$AE$6</f>
        <v>-22062.2575558435</v>
      </c>
      <c r="L13" s="9" t="s">
        <v>26</v>
      </c>
    </row>
    <row r="15" customFormat="false" ht="15" hidden="false" customHeight="false" outlineLevel="0" collapsed="false">
      <c r="A15" s="10" t="s">
        <v>27</v>
      </c>
    </row>
    <row r="16" customFormat="false" ht="27.75" hidden="false" customHeight="true" outlineLevel="0" collapsed="false">
      <c r="A16" s="11" t="s">
        <v>28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customFormat="false" ht="27.75" hidden="false" customHeight="true" outlineLevel="0" collapsed="false">
      <c r="A17" s="11" t="s">
        <v>29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customFormat="false" ht="27.75" hidden="false" customHeight="true" outlineLevel="0" collapsed="false">
      <c r="A18" s="11" t="s">
        <v>30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customFormat="false" ht="27.75" hidden="false" customHeight="true" outlineLevel="0" collapsed="false">
      <c r="A19" s="11" t="s">
        <v>31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customFormat="false" ht="27.75" hidden="false" customHeight="true" outlineLevel="0" collapsed="false">
      <c r="A20" s="11" t="s">
        <v>32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27.75" hidden="false" customHeight="true" outlineLevel="0" collapsed="false">
      <c r="A21" s="11" t="s">
        <v>33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customFormat="false" ht="27.75" hidden="false" customHeight="true" outlineLevel="0" collapsed="false">
      <c r="A22" s="11" t="s">
        <v>34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27.75" hidden="false" customHeight="true" outlineLevel="0" collapsed="false">
      <c r="A23" s="11" t="s">
        <v>35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</sheetData>
  <mergeCells count="8">
    <mergeCell ref="A16:L16"/>
    <mergeCell ref="A17:L17"/>
    <mergeCell ref="A18:L18"/>
    <mergeCell ref="A19:L19"/>
    <mergeCell ref="A20:L20"/>
    <mergeCell ref="A21:L21"/>
    <mergeCell ref="A22:L22"/>
    <mergeCell ref="A23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9" min="9" style="0" width="70"/>
  </cols>
  <sheetData>
    <row r="1" customFormat="false" ht="17.35" hidden="false" customHeight="false" outlineLevel="0" collapsed="false">
      <c r="B1" s="1" t="s">
        <v>36</v>
      </c>
    </row>
    <row r="2" customFormat="false" ht="15" hidden="false" customHeight="false" outlineLevel="0" collapsed="false">
      <c r="B2" s="2" t="s">
        <v>37</v>
      </c>
    </row>
    <row r="4" customFormat="false" ht="15" hidden="false" customHeight="false" outlineLevel="0" collapsed="false">
      <c r="B4" s="12" t="s">
        <v>38</v>
      </c>
      <c r="C4" s="12" t="s">
        <v>39</v>
      </c>
      <c r="I4" s="12" t="s">
        <v>40</v>
      </c>
    </row>
    <row r="5" customFormat="false" ht="15" hidden="false" customHeight="false" outlineLevel="0" collapsed="false">
      <c r="B5" s="4" t="s">
        <v>41</v>
      </c>
      <c r="C5" s="13" t="n">
        <v>800</v>
      </c>
      <c r="I5" s="14" t="s">
        <v>42</v>
      </c>
    </row>
    <row r="6" customFormat="false" ht="15" hidden="false" customHeight="false" outlineLevel="0" collapsed="false">
      <c r="B6" s="4" t="s">
        <v>43</v>
      </c>
      <c r="C6" s="15" t="n">
        <v>150000</v>
      </c>
      <c r="I6" s="14" t="s">
        <v>44</v>
      </c>
    </row>
    <row r="7" customFormat="false" ht="15" hidden="false" customHeight="false" outlineLevel="0" collapsed="false">
      <c r="B7" s="4" t="s">
        <v>45</v>
      </c>
      <c r="C7" s="15" t="n">
        <v>550000</v>
      </c>
      <c r="I7" s="14" t="s">
        <v>46</v>
      </c>
    </row>
    <row r="8" customFormat="false" ht="15" hidden="false" customHeight="false" outlineLevel="0" collapsed="false">
      <c r="B8" s="4" t="s">
        <v>47</v>
      </c>
      <c r="C8" s="15" t="n">
        <v>60000</v>
      </c>
      <c r="I8" s="14" t="s">
        <v>48</v>
      </c>
    </row>
    <row r="10" customFormat="false" ht="15" hidden="false" customHeight="false" outlineLevel="0" collapsed="false">
      <c r="B10" s="12" t="s">
        <v>49</v>
      </c>
      <c r="C10" s="12" t="s">
        <v>39</v>
      </c>
      <c r="I10" s="12" t="s">
        <v>40</v>
      </c>
    </row>
    <row r="11" customFormat="false" ht="15" hidden="false" customHeight="false" outlineLevel="0" collapsed="false">
      <c r="B11" s="4" t="s">
        <v>50</v>
      </c>
      <c r="C11" s="16" t="n">
        <v>0.075</v>
      </c>
      <c r="I11" s="14" t="s">
        <v>51</v>
      </c>
    </row>
    <row r="12" customFormat="false" ht="15" hidden="false" customHeight="false" outlineLevel="0" collapsed="false">
      <c r="B12" s="4" t="s">
        <v>52</v>
      </c>
      <c r="C12" s="16" t="n">
        <v>0.0725</v>
      </c>
      <c r="I12" s="14" t="s">
        <v>53</v>
      </c>
    </row>
    <row r="13" customFormat="false" ht="15" hidden="false" customHeight="false" outlineLevel="0" collapsed="false">
      <c r="B13" s="4" t="s">
        <v>54</v>
      </c>
      <c r="C13" s="16" t="n">
        <v>0.07125</v>
      </c>
      <c r="I13" s="14" t="s">
        <v>53</v>
      </c>
    </row>
    <row r="14" customFormat="false" ht="15" hidden="false" customHeight="false" outlineLevel="0" collapsed="false">
      <c r="B14" s="4" t="s">
        <v>55</v>
      </c>
      <c r="C14" s="13" t="n">
        <v>360</v>
      </c>
      <c r="I14" s="14" t="s">
        <v>56</v>
      </c>
    </row>
    <row r="15" customFormat="false" ht="15" hidden="false" customHeight="false" outlineLevel="0" collapsed="false">
      <c r="B15" s="4" t="s">
        <v>57</v>
      </c>
      <c r="C15" s="17" t="n">
        <v>0.25</v>
      </c>
      <c r="I15" s="14" t="s">
        <v>58</v>
      </c>
    </row>
    <row r="16" customFormat="false" ht="23.85" hidden="false" customHeight="false" outlineLevel="0" collapsed="false">
      <c r="B16" s="4" t="s">
        <v>59</v>
      </c>
      <c r="C16" s="18" t="n">
        <v>0.04</v>
      </c>
      <c r="I16" s="14" t="s">
        <v>60</v>
      </c>
    </row>
    <row r="17" customFormat="false" ht="15" hidden="false" customHeight="false" outlineLevel="0" collapsed="false">
      <c r="B17" s="4" t="s">
        <v>61</v>
      </c>
      <c r="C17" s="13" t="n">
        <v>6</v>
      </c>
      <c r="I17" s="14" t="s">
        <v>62</v>
      </c>
    </row>
    <row r="18" customFormat="false" ht="23.85" hidden="false" customHeight="false" outlineLevel="0" collapsed="false">
      <c r="B18" s="4" t="s">
        <v>63</v>
      </c>
      <c r="C18" s="18" t="n">
        <v>0.8</v>
      </c>
      <c r="I18" s="14" t="s">
        <v>64</v>
      </c>
    </row>
    <row r="19" customFormat="false" ht="23.85" hidden="false" customHeight="false" outlineLevel="0" collapsed="false">
      <c r="B19" s="4" t="s">
        <v>65</v>
      </c>
      <c r="C19" s="19" t="n">
        <v>7000</v>
      </c>
      <c r="I19" s="14" t="s">
        <v>66</v>
      </c>
    </row>
    <row r="21" customFormat="false" ht="15" hidden="false" customHeight="false" outlineLevel="0" collapsed="false">
      <c r="B21" s="12" t="s">
        <v>67</v>
      </c>
      <c r="C21" s="12" t="s">
        <v>68</v>
      </c>
      <c r="I21" s="12" t="s">
        <v>40</v>
      </c>
    </row>
    <row r="22" customFormat="false" ht="15" hidden="false" customHeight="false" outlineLevel="0" collapsed="false">
      <c r="B22" s="4" t="s">
        <v>69</v>
      </c>
      <c r="C22" s="19" t="n">
        <v>1000</v>
      </c>
      <c r="I22" s="14" t="s">
        <v>70</v>
      </c>
    </row>
    <row r="23" customFormat="false" ht="15" hidden="false" customHeight="false" outlineLevel="0" collapsed="false">
      <c r="B23" s="4" t="s">
        <v>71</v>
      </c>
      <c r="C23" s="19" t="n">
        <v>4500</v>
      </c>
      <c r="I23" s="14" t="s">
        <v>72</v>
      </c>
    </row>
    <row r="24" customFormat="false" ht="15" hidden="false" customHeight="false" outlineLevel="0" collapsed="false">
      <c r="B24" s="4" t="s">
        <v>73</v>
      </c>
      <c r="C24" s="19" t="n">
        <v>9000</v>
      </c>
      <c r="I24" s="14" t="s">
        <v>74</v>
      </c>
    </row>
    <row r="25" customFormat="false" ht="15" hidden="false" customHeight="false" outlineLevel="0" collapsed="false">
      <c r="B25" s="4" t="s">
        <v>75</v>
      </c>
      <c r="C25" s="19" t="n">
        <v>2000</v>
      </c>
      <c r="I25" s="14" t="s">
        <v>76</v>
      </c>
    </row>
    <row r="27" customFormat="false" ht="15" hidden="false" customHeight="false" outlineLevel="0" collapsed="false">
      <c r="B27" s="12" t="s">
        <v>77</v>
      </c>
      <c r="C27" s="12" t="s">
        <v>78</v>
      </c>
      <c r="D27" s="12" t="s">
        <v>79</v>
      </c>
      <c r="I27" s="12" t="s">
        <v>40</v>
      </c>
    </row>
    <row r="28" customFormat="false" ht="15" hidden="false" customHeight="false" outlineLevel="0" collapsed="false">
      <c r="B28" s="4" t="s">
        <v>80</v>
      </c>
      <c r="C28" s="20" t="n">
        <v>0.015</v>
      </c>
      <c r="D28" s="21" t="n">
        <f aca="false">$C$19</f>
        <v>7000</v>
      </c>
      <c r="I28" s="14" t="s">
        <v>81</v>
      </c>
    </row>
    <row r="29" customFormat="false" ht="15" hidden="false" customHeight="false" outlineLevel="0" collapsed="false">
      <c r="B29" s="4" t="s">
        <v>82</v>
      </c>
      <c r="C29" s="20" t="n">
        <v>0.0135</v>
      </c>
      <c r="D29" s="21" t="n">
        <f aca="false">$C$19</f>
        <v>7000</v>
      </c>
      <c r="I29" s="14" t="s">
        <v>83</v>
      </c>
    </row>
    <row r="30" customFormat="false" ht="15" hidden="false" customHeight="false" outlineLevel="0" collapsed="false">
      <c r="B30" s="4" t="s">
        <v>18</v>
      </c>
      <c r="C30" s="20" t="n">
        <v>0.016</v>
      </c>
      <c r="D30" s="21" t="n">
        <f aca="false">$C$19</f>
        <v>7000</v>
      </c>
      <c r="I30" s="14" t="s">
        <v>84</v>
      </c>
    </row>
    <row r="31" customFormat="false" ht="23.85" hidden="false" customHeight="false" outlineLevel="0" collapsed="false">
      <c r="B31" s="4" t="s">
        <v>85</v>
      </c>
      <c r="C31" s="20" t="n">
        <v>0.017</v>
      </c>
      <c r="D31" s="21" t="n">
        <f aca="false">$C$19</f>
        <v>7000</v>
      </c>
      <c r="I31" s="14" t="s">
        <v>86</v>
      </c>
    </row>
    <row r="32" customFormat="false" ht="15" hidden="false" customHeight="false" outlineLevel="0" collapsed="false">
      <c r="B32" s="4" t="s">
        <v>87</v>
      </c>
      <c r="C32" s="20" t="n">
        <v>0.0165</v>
      </c>
      <c r="D32" s="21" t="n">
        <f aca="false">$C$19</f>
        <v>7000</v>
      </c>
      <c r="I32" s="14" t="s">
        <v>88</v>
      </c>
    </row>
    <row r="33" customFormat="false" ht="15" hidden="false" customHeight="false" outlineLevel="0" collapsed="false">
      <c r="B33" s="4" t="s">
        <v>89</v>
      </c>
      <c r="C33" s="20" t="n">
        <v>0.014</v>
      </c>
      <c r="D33" s="21" t="n">
        <f aca="false">$C$19</f>
        <v>7000</v>
      </c>
      <c r="I33" s="14" t="s">
        <v>90</v>
      </c>
    </row>
    <row r="34" customFormat="false" ht="46.25" hidden="false" customHeight="false" outlineLevel="0" collapsed="false">
      <c r="B34" s="4" t="s">
        <v>91</v>
      </c>
      <c r="C34" s="20" t="n">
        <v>0.0095</v>
      </c>
      <c r="D34" s="22" t="n">
        <v>8000</v>
      </c>
      <c r="I34" s="14" t="s">
        <v>92</v>
      </c>
    </row>
    <row r="36" customFormat="false" ht="15" hidden="false" customHeight="false" outlineLevel="0" collapsed="false">
      <c r="B36" s="3" t="s">
        <v>93</v>
      </c>
      <c r="C36" s="3" t="s">
        <v>94</v>
      </c>
      <c r="D36" s="3" t="s">
        <v>95</v>
      </c>
      <c r="E36" s="3" t="s">
        <v>96</v>
      </c>
      <c r="F36" s="3" t="s">
        <v>97</v>
      </c>
      <c r="G36" s="3" t="s">
        <v>98</v>
      </c>
      <c r="H36" s="3" t="s">
        <v>99</v>
      </c>
      <c r="I36" s="12" t="s">
        <v>40</v>
      </c>
    </row>
    <row r="37" customFormat="false" ht="35.05" hidden="false" customHeight="false" outlineLevel="0" collapsed="false">
      <c r="B37" s="4" t="s">
        <v>100</v>
      </c>
      <c r="C37" s="18" t="n">
        <v>0.2</v>
      </c>
      <c r="D37" s="18" t="n">
        <v>0.1</v>
      </c>
      <c r="E37" s="18" t="n">
        <v>0</v>
      </c>
      <c r="F37" s="18" t="n">
        <v>0.08</v>
      </c>
      <c r="G37" s="18" t="n">
        <v>0.05</v>
      </c>
      <c r="H37" s="23" t="n">
        <f aca="false">SUM(D37:G37)</f>
        <v>0.23</v>
      </c>
      <c r="I37" s="14" t="s">
        <v>101</v>
      </c>
    </row>
    <row r="38" customFormat="false" ht="23.85" hidden="false" customHeight="false" outlineLevel="0" collapsed="false">
      <c r="B38" s="4" t="s">
        <v>102</v>
      </c>
      <c r="C38" s="18" t="n">
        <v>0.12</v>
      </c>
      <c r="D38" s="18" t="n">
        <v>0.02</v>
      </c>
      <c r="E38" s="18" t="n">
        <v>0</v>
      </c>
      <c r="F38" s="18" t="n">
        <v>0.06</v>
      </c>
      <c r="G38" s="18" t="n">
        <v>0.05</v>
      </c>
      <c r="H38" s="23" t="n">
        <f aca="false">SUM(D38:G38)</f>
        <v>0.13</v>
      </c>
      <c r="I38" s="14" t="s">
        <v>103</v>
      </c>
    </row>
    <row r="40" customFormat="false" ht="15" hidden="false" customHeight="false" outlineLevel="0" collapsed="false">
      <c r="B40" s="12" t="s">
        <v>104</v>
      </c>
      <c r="C40" s="12" t="s">
        <v>68</v>
      </c>
      <c r="I40" s="12" t="s">
        <v>40</v>
      </c>
    </row>
    <row r="41" customFormat="false" ht="15" hidden="false" customHeight="false" outlineLevel="0" collapsed="false">
      <c r="B41" s="4" t="s">
        <v>105</v>
      </c>
      <c r="C41" s="19" t="n">
        <v>6000</v>
      </c>
      <c r="I41" s="14" t="s">
        <v>106</v>
      </c>
    </row>
    <row r="42" customFormat="false" ht="15" hidden="false" customHeight="false" outlineLevel="0" collapsed="false">
      <c r="B42" s="4" t="s">
        <v>107</v>
      </c>
      <c r="C42" s="19" t="n">
        <v>3000</v>
      </c>
      <c r="I42" s="14"/>
    </row>
    <row r="43" customFormat="false" ht="15" hidden="false" customHeight="false" outlineLevel="0" collapsed="false">
      <c r="B43" s="4" t="s">
        <v>108</v>
      </c>
      <c r="C43" s="19" t="n">
        <v>1200</v>
      </c>
      <c r="I43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34"/>
    <col collapsed="false" customWidth="true" hidden="false" outlineLevel="0" max="13" min="13" style="0" width="9"/>
    <col collapsed="false" customWidth="true" hidden="false" outlineLevel="0" max="14" min="14" style="0" width="6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2"/>
    <col collapsed="false" customWidth="true" hidden="false" outlineLevel="0" max="19" min="19" style="0" width="8"/>
    <col collapsed="false" customWidth="true" hidden="false" outlineLevel="0" max="22" min="20" style="0" width="10"/>
    <col collapsed="false" customWidth="true" hidden="false" outlineLevel="0" max="23" min="23" style="0" width="11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12"/>
    <col collapsed="false" customWidth="true" hidden="false" outlineLevel="0" max="27" min="27" style="0" width="11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0" min="30" style="0" width="13"/>
    <col collapsed="false" customWidth="true" hidden="false" outlineLevel="0" max="31" min="31" style="0" width="12"/>
    <col collapsed="false" customWidth="true" hidden="false" outlineLevel="0" max="33" min="32" style="0" width="8"/>
    <col collapsed="false" customWidth="true" hidden="false" outlineLevel="0" max="34" min="34" style="0" width="16"/>
    <col collapsed="false" customWidth="true" hidden="false" outlineLevel="0" max="35" min="35" style="0" width="6"/>
    <col collapsed="false" customWidth="true" hidden="false" outlineLevel="0" max="36" min="36" style="0" width="50"/>
    <col collapsed="false" customWidth="true" hidden="false" outlineLevel="0" max="37" min="37" style="0" width="14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3" customFormat="false" ht="15" hidden="false" customHeight="false" outlineLevel="0" collapsed="false">
      <c r="A3" s="2" t="s">
        <v>111</v>
      </c>
    </row>
    <row r="5" customFormat="false" ht="42" hidden="false" customHeight="true" outlineLevel="0" collapsed="false">
      <c r="A5" s="3" t="s">
        <v>112</v>
      </c>
      <c r="B5" s="3" t="s">
        <v>3</v>
      </c>
      <c r="C5" s="3" t="s">
        <v>4</v>
      </c>
      <c r="D5" s="3" t="s">
        <v>113</v>
      </c>
      <c r="E5" s="3" t="s">
        <v>114</v>
      </c>
      <c r="F5" s="3" t="s">
        <v>115</v>
      </c>
      <c r="G5" s="3" t="s">
        <v>116</v>
      </c>
      <c r="H5" s="3" t="s">
        <v>5</v>
      </c>
      <c r="I5" s="3" t="s">
        <v>117</v>
      </c>
      <c r="J5" s="3" t="s">
        <v>118</v>
      </c>
      <c r="K5" s="3" t="s">
        <v>119</v>
      </c>
      <c r="L5" s="3" t="s">
        <v>120</v>
      </c>
      <c r="M5" s="3" t="s">
        <v>121</v>
      </c>
      <c r="N5" s="3" t="s">
        <v>122</v>
      </c>
      <c r="O5" s="3" t="s">
        <v>123</v>
      </c>
      <c r="P5" s="3" t="s">
        <v>124</v>
      </c>
      <c r="Q5" s="3" t="s">
        <v>125</v>
      </c>
      <c r="R5" s="24" t="s">
        <v>126</v>
      </c>
      <c r="S5" s="24" t="s">
        <v>127</v>
      </c>
      <c r="T5" s="24" t="s">
        <v>128</v>
      </c>
      <c r="U5" s="24" t="s">
        <v>129</v>
      </c>
      <c r="V5" s="24" t="s">
        <v>130</v>
      </c>
      <c r="W5" s="24" t="s">
        <v>7</v>
      </c>
      <c r="X5" s="24" t="s">
        <v>8</v>
      </c>
      <c r="Y5" s="24" t="s">
        <v>9</v>
      </c>
      <c r="Z5" s="24" t="s">
        <v>10</v>
      </c>
      <c r="AA5" s="24" t="s">
        <v>131</v>
      </c>
      <c r="AB5" s="24" t="s">
        <v>132</v>
      </c>
      <c r="AC5" s="24" t="s">
        <v>133</v>
      </c>
      <c r="AD5" s="24" t="s">
        <v>11</v>
      </c>
      <c r="AE5" s="24" t="s">
        <v>12</v>
      </c>
      <c r="AF5" s="24" t="s">
        <v>134</v>
      </c>
      <c r="AG5" s="24" t="s">
        <v>135</v>
      </c>
      <c r="AH5" s="3" t="s">
        <v>136</v>
      </c>
      <c r="AI5" s="3" t="s">
        <v>137</v>
      </c>
      <c r="AJ5" s="3" t="s">
        <v>138</v>
      </c>
      <c r="AK5" s="3" t="s">
        <v>139</v>
      </c>
    </row>
    <row r="6" customFormat="false" ht="57.45" hidden="false" customHeight="false" outlineLevel="0" collapsed="false">
      <c r="A6" s="13" t="n">
        <v>1</v>
      </c>
      <c r="B6" s="25" t="s">
        <v>140</v>
      </c>
      <c r="C6" s="26" t="s">
        <v>141</v>
      </c>
      <c r="D6" s="27" t="s">
        <v>80</v>
      </c>
      <c r="E6" s="26" t="s">
        <v>142</v>
      </c>
      <c r="F6" s="26" t="s">
        <v>143</v>
      </c>
      <c r="G6" s="19" t="n">
        <v>584900</v>
      </c>
      <c r="H6" s="19" t="n">
        <v>560000</v>
      </c>
      <c r="I6" s="18" t="n">
        <v>0.03</v>
      </c>
      <c r="J6" s="28" t="n">
        <f aca="false">Assumptions!$C$15</f>
        <v>0.25</v>
      </c>
      <c r="K6" s="19" t="n">
        <v>85000</v>
      </c>
      <c r="L6" s="26" t="s">
        <v>144</v>
      </c>
      <c r="M6" s="27" t="s">
        <v>75</v>
      </c>
      <c r="N6" s="27" t="s">
        <v>145</v>
      </c>
      <c r="O6" s="19" t="n">
        <v>0</v>
      </c>
      <c r="P6" s="19"/>
      <c r="Q6" s="27" t="s">
        <v>100</v>
      </c>
      <c r="R6" s="21" t="n">
        <f aca="false">H6*(1-J6)</f>
        <v>420000</v>
      </c>
      <c r="S6" s="29" t="n">
        <f aca="false">IF((1-J6)&gt;0.75,Assumptions!$C$11,IF((1-J6)&gt;0.7,Assumptions!$C$12,Assumptions!$C$13))</f>
        <v>0.0725</v>
      </c>
      <c r="T6" s="21" t="n">
        <f aca="false">PMT(S6/12,Assumptions!$C$14,-R6)</f>
        <v>2865.14037623601</v>
      </c>
      <c r="U6" s="21" t="n">
        <f aca="false">H6*INDEX(Assumptions!$C$28:$C$34,MATCH(D6,Assumptions!$B$28:$B$34,0))/12</f>
        <v>700</v>
      </c>
      <c r="V6" s="21" t="n">
        <f aca="false">IF(ISNUMBER(P6),P6,INDEX(Assumptions!$D$28:$D$34,MATCH(D6,Assumptions!$B$28:$B$34,0))+INDEX(Assumptions!$C$22:$C$25,MATCH(M6,Assumptions!$B$22:$B$25,0)))/12</f>
        <v>750</v>
      </c>
      <c r="W6" s="21" t="n">
        <f aca="false">T6+U6+V6+O6</f>
        <v>4315.14037623601</v>
      </c>
      <c r="X6" s="30" t="n">
        <f aca="false">IFERROR(K6/12/W6,0)</f>
        <v>1.64150704629265</v>
      </c>
      <c r="Y6" s="31" t="n">
        <f aca="false">IFERROR(K6*Assumptions!$C$18/12/W6,0)</f>
        <v>1.31320563703412</v>
      </c>
      <c r="Z6" s="32" t="n">
        <f aca="false">H6*J6+H6*(Assumptions!$C$16-I6)</f>
        <v>145600</v>
      </c>
      <c r="AA6" s="21" t="n">
        <f aca="false">W6*Assumptions!$C$17</f>
        <v>25890.842257416</v>
      </c>
      <c r="AB6" s="21" t="n">
        <f aca="false">K6*INDEX(Assumptions!$H$37:$H$38,MATCH(Q6,Assumptions!$B$37:$B$38,0))+Assumptions!$C$41+IF(N6="Y",Assumptions!$C$42,Assumptions!$C$43)</f>
        <v>28550</v>
      </c>
      <c r="AC6" s="21" t="n">
        <f aca="false">K6*INDEX(Assumptions!$C$37:$C$38,MATCH(Q6,Assumptions!$B$37:$B$38,0))</f>
        <v>17000</v>
      </c>
      <c r="AD6" s="21" t="n">
        <f aca="false">K6-AB6-W6*12</f>
        <v>4668.31548516793</v>
      </c>
      <c r="AE6" s="21" t="n">
        <f aca="false">AD6-AC6</f>
        <v>-12331.6845148321</v>
      </c>
      <c r="AF6" s="23" t="n">
        <f aca="false">IFERROR(K6/H6,0)</f>
        <v>0.151785714285714</v>
      </c>
      <c r="AG6" s="23" t="n">
        <f aca="false">IFERROR((K6-AB6-AC6)/H6,0)</f>
        <v>0.0704464285714286</v>
      </c>
      <c r="AH6" s="26" t="s">
        <v>146</v>
      </c>
      <c r="AI6" s="13" t="n">
        <v>21</v>
      </c>
      <c r="AJ6" s="26" t="s">
        <v>147</v>
      </c>
      <c r="AK6" s="33" t="s">
        <v>148</v>
      </c>
    </row>
    <row r="7" customFormat="false" ht="35.05" hidden="false" customHeight="false" outlineLevel="0" collapsed="false">
      <c r="A7" s="34" t="n">
        <v>2</v>
      </c>
      <c r="B7" s="25" t="s">
        <v>149</v>
      </c>
      <c r="C7" s="35" t="s">
        <v>150</v>
      </c>
      <c r="D7" s="36" t="s">
        <v>80</v>
      </c>
      <c r="E7" s="35" t="s">
        <v>151</v>
      </c>
      <c r="F7" s="35" t="s">
        <v>152</v>
      </c>
      <c r="G7" s="37" t="n">
        <v>475000</v>
      </c>
      <c r="H7" s="37" t="n">
        <v>460000</v>
      </c>
      <c r="I7" s="38" t="n">
        <v>0</v>
      </c>
      <c r="J7" s="39" t="n">
        <f aca="false">Assumptions!$C$15</f>
        <v>0.25</v>
      </c>
      <c r="K7" s="37" t="n">
        <v>73000</v>
      </c>
      <c r="L7" s="35" t="s">
        <v>153</v>
      </c>
      <c r="M7" s="36" t="s">
        <v>75</v>
      </c>
      <c r="N7" s="36" t="s">
        <v>154</v>
      </c>
      <c r="O7" s="37" t="n">
        <v>0</v>
      </c>
      <c r="P7" s="37"/>
      <c r="Q7" s="36" t="s">
        <v>100</v>
      </c>
      <c r="R7" s="40" t="n">
        <f aca="false">H7*(1-J7)</f>
        <v>345000</v>
      </c>
      <c r="S7" s="41" t="n">
        <f aca="false">IF((1-J7)&gt;0.75,Assumptions!$C$11,IF((1-J7)&gt;0.7,Assumptions!$C$12,Assumptions!$C$13))</f>
        <v>0.0725</v>
      </c>
      <c r="T7" s="40" t="n">
        <f aca="false">PMT(S7/12,Assumptions!$C$14,-R7)</f>
        <v>2353.50816619386</v>
      </c>
      <c r="U7" s="40" t="n">
        <f aca="false">H7*INDEX(Assumptions!$C$28:$C$34,MATCH(D7,Assumptions!$B$28:$B$34,0))/12</f>
        <v>575</v>
      </c>
      <c r="V7" s="40" t="n">
        <f aca="false">IF(ISNUMBER(P7),P7,INDEX(Assumptions!$D$28:$D$34,MATCH(D7,Assumptions!$B$28:$B$34,0))+INDEX(Assumptions!$C$22:$C$25,MATCH(M7,Assumptions!$B$22:$B$25,0)))/12</f>
        <v>750</v>
      </c>
      <c r="W7" s="40" t="n">
        <f aca="false">T7+U7+V7+O7</f>
        <v>3678.50816619386</v>
      </c>
      <c r="X7" s="42" t="n">
        <f aca="false">IFERROR(K7/12/W7,0)</f>
        <v>1.65375012328102</v>
      </c>
      <c r="Y7" s="31" t="n">
        <f aca="false">IFERROR(K7*Assumptions!$C$18/12/W7,0)</f>
        <v>1.32300009862482</v>
      </c>
      <c r="Z7" s="32" t="n">
        <f aca="false">H7*J7+H7*(Assumptions!$C$16-I7)</f>
        <v>133400</v>
      </c>
      <c r="AA7" s="40" t="n">
        <f aca="false">W7*Assumptions!$C$17</f>
        <v>22071.0489971632</v>
      </c>
      <c r="AB7" s="40" t="n">
        <f aca="false">K7*INDEX(Assumptions!$H$37:$H$38,MATCH(Q7,Assumptions!$B$37:$B$38,0))+Assumptions!$C$41+IF(N7="Y",Assumptions!$C$42,Assumptions!$C$43)</f>
        <v>23990</v>
      </c>
      <c r="AC7" s="40" t="n">
        <f aca="false">K7*INDEX(Assumptions!$C$37:$C$38,MATCH(Q7,Assumptions!$B$37:$B$38,0))</f>
        <v>14600</v>
      </c>
      <c r="AD7" s="40" t="n">
        <f aca="false">K7-AB7-W7*12</f>
        <v>4867.90200567366</v>
      </c>
      <c r="AE7" s="40" t="n">
        <f aca="false">AD7-AC7</f>
        <v>-9732.09799432635</v>
      </c>
      <c r="AF7" s="43" t="n">
        <f aca="false">IFERROR(K7/H7,0)</f>
        <v>0.158695652173913</v>
      </c>
      <c r="AG7" s="43" t="n">
        <f aca="false">IFERROR((K7-AB7-AC7)/H7,0)</f>
        <v>0.074804347826087</v>
      </c>
      <c r="AH7" s="35" t="s">
        <v>155</v>
      </c>
      <c r="AI7" s="34" t="n">
        <v>14</v>
      </c>
      <c r="AJ7" s="35" t="s">
        <v>156</v>
      </c>
      <c r="AK7" s="44" t="s">
        <v>148</v>
      </c>
    </row>
    <row r="8" customFormat="false" ht="46.25" hidden="false" customHeight="false" outlineLevel="0" collapsed="false">
      <c r="A8" s="13" t="n">
        <v>3</v>
      </c>
      <c r="B8" s="25" t="s">
        <v>157</v>
      </c>
      <c r="C8" s="26" t="s">
        <v>158</v>
      </c>
      <c r="D8" s="27" t="s">
        <v>80</v>
      </c>
      <c r="E8" s="26" t="s">
        <v>142</v>
      </c>
      <c r="F8" s="26" t="s">
        <v>159</v>
      </c>
      <c r="G8" s="19" t="n">
        <v>645000</v>
      </c>
      <c r="H8" s="19" t="n">
        <v>600000</v>
      </c>
      <c r="I8" s="18" t="n">
        <v>0.03</v>
      </c>
      <c r="J8" s="28" t="n">
        <f aca="false">Assumptions!$C$15</f>
        <v>0.25</v>
      </c>
      <c r="K8" s="19" t="n">
        <v>89000</v>
      </c>
      <c r="L8" s="26" t="s">
        <v>160</v>
      </c>
      <c r="M8" s="27" t="s">
        <v>75</v>
      </c>
      <c r="N8" s="27" t="s">
        <v>145</v>
      </c>
      <c r="O8" s="19" t="n">
        <v>0</v>
      </c>
      <c r="P8" s="19"/>
      <c r="Q8" s="27" t="s">
        <v>100</v>
      </c>
      <c r="R8" s="21" t="n">
        <f aca="false">H8*(1-J8)</f>
        <v>450000</v>
      </c>
      <c r="S8" s="29" t="n">
        <f aca="false">IF((1-J8)&gt;0.75,Assumptions!$C$11,IF((1-J8)&gt;0.7,Assumptions!$C$12,Assumptions!$C$13))</f>
        <v>0.0725</v>
      </c>
      <c r="T8" s="21" t="n">
        <f aca="false">PMT(S8/12,Assumptions!$C$14,-R8)</f>
        <v>3069.79326025286</v>
      </c>
      <c r="U8" s="21" t="n">
        <f aca="false">H8*INDEX(Assumptions!$C$28:$C$34,MATCH(D8,Assumptions!$B$28:$B$34,0))/12</f>
        <v>750</v>
      </c>
      <c r="V8" s="21" t="n">
        <f aca="false">IF(ISNUMBER(P8),P8,INDEX(Assumptions!$D$28:$D$34,MATCH(D8,Assumptions!$B$28:$B$34,0))+INDEX(Assumptions!$C$22:$C$25,MATCH(M8,Assumptions!$B$22:$B$25,0)))/12</f>
        <v>750</v>
      </c>
      <c r="W8" s="21" t="n">
        <f aca="false">T8+U8+V8+O8</f>
        <v>4569.79326025286</v>
      </c>
      <c r="X8" s="30" t="n">
        <f aca="false">IFERROR(K8/12/W8,0)</f>
        <v>1.62297641146599</v>
      </c>
      <c r="Y8" s="31" t="n">
        <f aca="false">IFERROR(K8*Assumptions!$C$18/12/W8,0)</f>
        <v>1.29838112917279</v>
      </c>
      <c r="Z8" s="32" t="n">
        <f aca="false">H8*J8+H8*(Assumptions!$C$16-I8)</f>
        <v>156000</v>
      </c>
      <c r="AA8" s="21" t="n">
        <f aca="false">W8*Assumptions!$C$17</f>
        <v>27418.7595615172</v>
      </c>
      <c r="AB8" s="21" t="n">
        <f aca="false">K8*INDEX(Assumptions!$H$37:$H$38,MATCH(Q8,Assumptions!$B$37:$B$38,0))+Assumptions!$C$41+IF(N8="Y",Assumptions!$C$42,Assumptions!$C$43)</f>
        <v>29470</v>
      </c>
      <c r="AC8" s="21" t="n">
        <f aca="false">K8*INDEX(Assumptions!$C$37:$C$38,MATCH(Q8,Assumptions!$B$37:$B$38,0))</f>
        <v>17800</v>
      </c>
      <c r="AD8" s="21" t="n">
        <f aca="false">K8-AB8-W8*12</f>
        <v>4692.48087696564</v>
      </c>
      <c r="AE8" s="21" t="n">
        <f aca="false">AD8-AC8</f>
        <v>-13107.5191230344</v>
      </c>
      <c r="AF8" s="23" t="n">
        <f aca="false">IFERROR(K8/H8,0)</f>
        <v>0.148333333333333</v>
      </c>
      <c r="AG8" s="23" t="n">
        <f aca="false">IFERROR((K8-AB8-AC8)/H8,0)</f>
        <v>0.06955</v>
      </c>
      <c r="AH8" s="26" t="s">
        <v>161</v>
      </c>
      <c r="AI8" s="13" t="n">
        <v>23</v>
      </c>
      <c r="AJ8" s="26" t="s">
        <v>162</v>
      </c>
      <c r="AK8" s="33" t="s">
        <v>148</v>
      </c>
    </row>
    <row r="9" customFormat="false" ht="35.05" hidden="false" customHeight="false" outlineLevel="0" collapsed="false">
      <c r="A9" s="34" t="n">
        <v>4</v>
      </c>
      <c r="B9" s="35" t="s">
        <v>163</v>
      </c>
      <c r="C9" s="35" t="s">
        <v>164</v>
      </c>
      <c r="D9" s="36" t="s">
        <v>82</v>
      </c>
      <c r="E9" s="35" t="s">
        <v>151</v>
      </c>
      <c r="F9" s="35" t="s">
        <v>165</v>
      </c>
      <c r="G9" s="37" t="n">
        <v>475000</v>
      </c>
      <c r="H9" s="37" t="n">
        <v>455000</v>
      </c>
      <c r="I9" s="38" t="n">
        <v>0</v>
      </c>
      <c r="J9" s="39" t="n">
        <f aca="false">Assumptions!$C$15</f>
        <v>0.25</v>
      </c>
      <c r="K9" s="37" t="n">
        <v>60000</v>
      </c>
      <c r="L9" s="35" t="s">
        <v>166</v>
      </c>
      <c r="M9" s="36" t="s">
        <v>69</v>
      </c>
      <c r="N9" s="36" t="s">
        <v>154</v>
      </c>
      <c r="O9" s="37" t="n">
        <v>0</v>
      </c>
      <c r="P9" s="37"/>
      <c r="Q9" s="36" t="s">
        <v>100</v>
      </c>
      <c r="R9" s="40" t="n">
        <f aca="false">H9*(1-J9)</f>
        <v>341250</v>
      </c>
      <c r="S9" s="41" t="n">
        <f aca="false">IF((1-J9)&gt;0.75,Assumptions!$C$11,IF((1-J9)&gt;0.7,Assumptions!$C$12,Assumptions!$C$13))</f>
        <v>0.0725</v>
      </c>
      <c r="T9" s="40" t="n">
        <f aca="false">PMT(S9/12,Assumptions!$C$14,-R9)</f>
        <v>2327.92655569175</v>
      </c>
      <c r="U9" s="40" t="n">
        <f aca="false">H9*INDEX(Assumptions!$C$28:$C$34,MATCH(D9,Assumptions!$B$28:$B$34,0))/12</f>
        <v>511.875</v>
      </c>
      <c r="V9" s="40" t="n">
        <f aca="false">IF(ISNUMBER(P9),P9,INDEX(Assumptions!$D$28:$D$34,MATCH(D9,Assumptions!$B$28:$B$34,0))+INDEX(Assumptions!$C$22:$C$25,MATCH(M9,Assumptions!$B$22:$B$25,0)))/12</f>
        <v>666.666666666667</v>
      </c>
      <c r="W9" s="40" t="n">
        <f aca="false">T9+U9+V9+O9</f>
        <v>3506.46822235842</v>
      </c>
      <c r="X9" s="42" t="n">
        <f aca="false">IFERROR(K9/12/W9,0)</f>
        <v>1.42593620786817</v>
      </c>
      <c r="Y9" s="42" t="n">
        <f aca="false">IFERROR(K9*Assumptions!$C$18/12/W9,0)</f>
        <v>1.14074896629453</v>
      </c>
      <c r="Z9" s="40" t="n">
        <f aca="false">H9*J9+H9*(Assumptions!$C$16-I9)</f>
        <v>131950</v>
      </c>
      <c r="AA9" s="40" t="n">
        <f aca="false">W9*Assumptions!$C$17</f>
        <v>21038.8093341505</v>
      </c>
      <c r="AB9" s="40" t="n">
        <f aca="false">K9*INDEX(Assumptions!$H$37:$H$38,MATCH(Q9,Assumptions!$B$37:$B$38,0))+Assumptions!$C$41+IF(N9="Y",Assumptions!$C$42,Assumptions!$C$43)</f>
        <v>21000</v>
      </c>
      <c r="AC9" s="40" t="n">
        <f aca="false">K9*INDEX(Assumptions!$C$37:$C$38,MATCH(Q9,Assumptions!$B$37:$B$38,0))</f>
        <v>12000</v>
      </c>
      <c r="AD9" s="40" t="n">
        <f aca="false">K9-AB9-W9*12</f>
        <v>-3077.61866830105</v>
      </c>
      <c r="AE9" s="40" t="n">
        <f aca="false">AD9-AC9</f>
        <v>-15077.6186683011</v>
      </c>
      <c r="AF9" s="43" t="n">
        <f aca="false">IFERROR(K9/H9,0)</f>
        <v>0.131868131868132</v>
      </c>
      <c r="AG9" s="43" t="n">
        <f aca="false">IFERROR((K9-AB9-AC9)/H9,0)</f>
        <v>0.0593406593406593</v>
      </c>
      <c r="AH9" s="35" t="s">
        <v>167</v>
      </c>
      <c r="AI9" s="34" t="n">
        <v>78</v>
      </c>
      <c r="AJ9" s="35" t="s">
        <v>168</v>
      </c>
      <c r="AK9" s="44" t="s">
        <v>148</v>
      </c>
    </row>
    <row r="10" customFormat="false" ht="35.05" hidden="false" customHeight="false" outlineLevel="0" collapsed="false">
      <c r="A10" s="13" t="n">
        <v>5</v>
      </c>
      <c r="B10" s="26" t="s">
        <v>169</v>
      </c>
      <c r="C10" s="26" t="s">
        <v>158</v>
      </c>
      <c r="D10" s="27" t="s">
        <v>80</v>
      </c>
      <c r="E10" s="26" t="s">
        <v>142</v>
      </c>
      <c r="F10" s="26" t="s">
        <v>170</v>
      </c>
      <c r="G10" s="19" t="n">
        <v>474999</v>
      </c>
      <c r="H10" s="19" t="n">
        <v>474999</v>
      </c>
      <c r="I10" s="18" t="n">
        <v>0</v>
      </c>
      <c r="J10" s="28" t="n">
        <f aca="false">Assumptions!$C$15</f>
        <v>0.25</v>
      </c>
      <c r="K10" s="19" t="n">
        <v>54000</v>
      </c>
      <c r="L10" s="26" t="s">
        <v>171</v>
      </c>
      <c r="M10" s="27" t="s">
        <v>69</v>
      </c>
      <c r="N10" s="27" t="s">
        <v>145</v>
      </c>
      <c r="O10" s="19" t="n">
        <v>0</v>
      </c>
      <c r="P10" s="19"/>
      <c r="Q10" s="27" t="s">
        <v>100</v>
      </c>
      <c r="R10" s="21" t="n">
        <f aca="false">H10*(1-J10)</f>
        <v>356249.25</v>
      </c>
      <c r="S10" s="29" t="n">
        <f aca="false">IF((1-J10)&gt;0.75,Assumptions!$C$11,IF((1-J10)&gt;0.7,Assumptions!$C$12,Assumptions!$C$13))</f>
        <v>0.0725</v>
      </c>
      <c r="T10" s="21" t="n">
        <f aca="false">PMT(S10/12,Assumptions!$C$14,-R10)</f>
        <v>2430.24788137808</v>
      </c>
      <c r="U10" s="21" t="n">
        <f aca="false">H10*INDEX(Assumptions!$C$28:$C$34,MATCH(D10,Assumptions!$B$28:$B$34,0))/12</f>
        <v>593.74875</v>
      </c>
      <c r="V10" s="21" t="n">
        <f aca="false">IF(ISNUMBER(P10),P10,INDEX(Assumptions!$D$28:$D$34,MATCH(D10,Assumptions!$B$28:$B$34,0))+INDEX(Assumptions!$C$22:$C$25,MATCH(M10,Assumptions!$B$22:$B$25,0)))/12</f>
        <v>666.666666666667</v>
      </c>
      <c r="W10" s="21" t="n">
        <f aca="false">T10+U10+V10+O10</f>
        <v>3690.66329804475</v>
      </c>
      <c r="X10" s="30" t="n">
        <f aca="false">IFERROR(K10/12/W10,0)</f>
        <v>1.2192930204129</v>
      </c>
      <c r="Y10" s="30" t="n">
        <f aca="false">IFERROR(K10*Assumptions!$C$18/12/W10,0)</f>
        <v>0.975434416330316</v>
      </c>
      <c r="Z10" s="21" t="n">
        <f aca="false">H10*J10+H10*(Assumptions!$C$16-I10)</f>
        <v>137749.71</v>
      </c>
      <c r="AA10" s="21" t="n">
        <f aca="false">W10*Assumptions!$C$17</f>
        <v>22143.9797882685</v>
      </c>
      <c r="AB10" s="21" t="n">
        <f aca="false">K10*INDEX(Assumptions!$H$37:$H$38,MATCH(Q10,Assumptions!$B$37:$B$38,0))+Assumptions!$C$41+IF(N10="Y",Assumptions!$C$42,Assumptions!$C$43)</f>
        <v>21420</v>
      </c>
      <c r="AC10" s="21" t="n">
        <f aca="false">K10*INDEX(Assumptions!$C$37:$C$38,MATCH(Q10,Assumptions!$B$37:$B$38,0))</f>
        <v>10800</v>
      </c>
      <c r="AD10" s="21" t="n">
        <f aca="false">K10-AB10-W10*12</f>
        <v>-11707.959576537</v>
      </c>
      <c r="AE10" s="21" t="n">
        <f aca="false">AD10-AC10</f>
        <v>-22507.959576537</v>
      </c>
      <c r="AF10" s="23" t="n">
        <f aca="false">IFERROR(K10/H10,0)</f>
        <v>0.113684449862</v>
      </c>
      <c r="AG10" s="23" t="n">
        <f aca="false">IFERROR((K10-AB10-AC10)/H10,0)</f>
        <v>0.0458527281110066</v>
      </c>
      <c r="AH10" s="26" t="s">
        <v>172</v>
      </c>
      <c r="AI10" s="13" t="n">
        <v>18</v>
      </c>
      <c r="AJ10" s="26" t="s">
        <v>173</v>
      </c>
      <c r="AK10" s="33" t="s">
        <v>148</v>
      </c>
    </row>
    <row r="11" customFormat="false" ht="23.85" hidden="false" customHeight="false" outlineLevel="0" collapsed="false">
      <c r="A11" s="34" t="n">
        <v>6</v>
      </c>
      <c r="B11" s="35" t="s">
        <v>174</v>
      </c>
      <c r="C11" s="35" t="s">
        <v>158</v>
      </c>
      <c r="D11" s="36" t="s">
        <v>80</v>
      </c>
      <c r="E11" s="35" t="s">
        <v>142</v>
      </c>
      <c r="F11" s="35" t="s">
        <v>175</v>
      </c>
      <c r="G11" s="37" t="n">
        <v>529000</v>
      </c>
      <c r="H11" s="37" t="n">
        <v>515000</v>
      </c>
      <c r="I11" s="38" t="n">
        <v>0</v>
      </c>
      <c r="J11" s="39" t="n">
        <f aca="false">Assumptions!$C$15</f>
        <v>0.25</v>
      </c>
      <c r="K11" s="37" t="n">
        <v>60000</v>
      </c>
      <c r="L11" s="35" t="s">
        <v>176</v>
      </c>
      <c r="M11" s="36" t="s">
        <v>75</v>
      </c>
      <c r="N11" s="36" t="s">
        <v>145</v>
      </c>
      <c r="O11" s="37" t="n">
        <v>0</v>
      </c>
      <c r="P11" s="37"/>
      <c r="Q11" s="36" t="s">
        <v>100</v>
      </c>
      <c r="R11" s="40" t="n">
        <f aca="false">H11*(1-J11)</f>
        <v>386250</v>
      </c>
      <c r="S11" s="41" t="n">
        <f aca="false">IF((1-J11)&gt;0.75,Assumptions!$C$11,IF((1-J11)&gt;0.7,Assumptions!$C$12,Assumptions!$C$13))</f>
        <v>0.0725</v>
      </c>
      <c r="T11" s="40" t="n">
        <f aca="false">PMT(S11/12,Assumptions!$C$14,-R11)</f>
        <v>2634.90588171704</v>
      </c>
      <c r="U11" s="40" t="n">
        <f aca="false">H11*INDEX(Assumptions!$C$28:$C$34,MATCH(D11,Assumptions!$B$28:$B$34,0))/12</f>
        <v>643.75</v>
      </c>
      <c r="V11" s="40" t="n">
        <f aca="false">IF(ISNUMBER(P11),P11,INDEX(Assumptions!$D$28:$D$34,MATCH(D11,Assumptions!$B$28:$B$34,0))+INDEX(Assumptions!$C$22:$C$25,MATCH(M11,Assumptions!$B$22:$B$25,0)))/12</f>
        <v>750</v>
      </c>
      <c r="W11" s="40" t="n">
        <f aca="false">T11+U11+V11+O11</f>
        <v>4028.65588171704</v>
      </c>
      <c r="X11" s="42" t="n">
        <f aca="false">IFERROR(K11/12/W11,0)</f>
        <v>1.24110873373205</v>
      </c>
      <c r="Y11" s="42" t="n">
        <f aca="false">IFERROR(K11*Assumptions!$C$18/12/W11,0)</f>
        <v>0.992886986985638</v>
      </c>
      <c r="Z11" s="40" t="n">
        <f aca="false">H11*J11+H11*(Assumptions!$C$16-I11)</f>
        <v>149350</v>
      </c>
      <c r="AA11" s="40" t="n">
        <f aca="false">W11*Assumptions!$C$17</f>
        <v>24171.9352903022</v>
      </c>
      <c r="AB11" s="40" t="n">
        <f aca="false">K11*INDEX(Assumptions!$H$37:$H$38,MATCH(Q11,Assumptions!$B$37:$B$38,0))+Assumptions!$C$41+IF(N11="Y",Assumptions!$C$42,Assumptions!$C$43)</f>
        <v>22800</v>
      </c>
      <c r="AC11" s="40" t="n">
        <f aca="false">K11*INDEX(Assumptions!$C$37:$C$38,MATCH(Q11,Assumptions!$B$37:$B$38,0))</f>
        <v>12000</v>
      </c>
      <c r="AD11" s="40" t="n">
        <f aca="false">K11-AB11-W11*12</f>
        <v>-11143.8705806045</v>
      </c>
      <c r="AE11" s="40" t="n">
        <f aca="false">AD11-AC11</f>
        <v>-23143.8705806045</v>
      </c>
      <c r="AF11" s="43" t="n">
        <f aca="false">IFERROR(K11/H11,0)</f>
        <v>0.116504854368932</v>
      </c>
      <c r="AG11" s="43" t="n">
        <f aca="false">IFERROR((K11-AB11-AC11)/H11,0)</f>
        <v>0.0489320388349515</v>
      </c>
      <c r="AH11" s="35" t="s">
        <v>177</v>
      </c>
      <c r="AI11" s="34" t="n">
        <v>58</v>
      </c>
      <c r="AJ11" s="35" t="s">
        <v>178</v>
      </c>
      <c r="AK11" s="44" t="s">
        <v>148</v>
      </c>
    </row>
    <row r="12" customFormat="false" ht="23.85" hidden="false" customHeight="false" outlineLevel="0" collapsed="false">
      <c r="A12" s="13" t="n">
        <v>7</v>
      </c>
      <c r="B12" s="26" t="s">
        <v>179</v>
      </c>
      <c r="C12" s="26" t="s">
        <v>164</v>
      </c>
      <c r="D12" s="27" t="s">
        <v>82</v>
      </c>
      <c r="E12" s="26" t="s">
        <v>142</v>
      </c>
      <c r="F12" s="26" t="s">
        <v>180</v>
      </c>
      <c r="G12" s="19" t="n">
        <v>524900</v>
      </c>
      <c r="H12" s="19" t="n">
        <v>505000</v>
      </c>
      <c r="I12" s="18" t="n">
        <v>0</v>
      </c>
      <c r="J12" s="28" t="n">
        <f aca="false">Assumptions!$C$15</f>
        <v>0.25</v>
      </c>
      <c r="K12" s="19" t="n">
        <v>50157</v>
      </c>
      <c r="L12" s="26" t="s">
        <v>181</v>
      </c>
      <c r="M12" s="27" t="s">
        <v>69</v>
      </c>
      <c r="N12" s="27" t="s">
        <v>154</v>
      </c>
      <c r="O12" s="19" t="n">
        <v>0</v>
      </c>
      <c r="P12" s="19"/>
      <c r="Q12" s="27" t="s">
        <v>100</v>
      </c>
      <c r="R12" s="21" t="n">
        <f aca="false">H12*(1-J12)</f>
        <v>378750</v>
      </c>
      <c r="S12" s="29" t="n">
        <f aca="false">IF((1-J12)&gt;0.75,Assumptions!$C$11,IF((1-J12)&gt;0.7,Assumptions!$C$12,Assumptions!$C$13))</f>
        <v>0.0725</v>
      </c>
      <c r="T12" s="21" t="n">
        <f aca="false">PMT(S12/12,Assumptions!$C$14,-R12)</f>
        <v>2583.74266071283</v>
      </c>
      <c r="U12" s="21" t="n">
        <f aca="false">H12*INDEX(Assumptions!$C$28:$C$34,MATCH(D12,Assumptions!$B$28:$B$34,0))/12</f>
        <v>568.125</v>
      </c>
      <c r="V12" s="21" t="n">
        <f aca="false">IF(ISNUMBER(P12),P12,INDEX(Assumptions!$D$28:$D$34,MATCH(D12,Assumptions!$B$28:$B$34,0))+INDEX(Assumptions!$C$22:$C$25,MATCH(M12,Assumptions!$B$22:$B$25,0)))/12</f>
        <v>666.666666666667</v>
      </c>
      <c r="W12" s="21" t="n">
        <f aca="false">T12+U12+V12+O12</f>
        <v>3818.53432737949</v>
      </c>
      <c r="X12" s="30" t="n">
        <f aca="false">IFERROR(K12/12/W12,0)</f>
        <v>1.09459537132625</v>
      </c>
      <c r="Y12" s="30" t="n">
        <f aca="false">IFERROR(K12*Assumptions!$C$18/12/W12,0)</f>
        <v>0.875676297061003</v>
      </c>
      <c r="Z12" s="21" t="n">
        <f aca="false">H12*J12+H12*(Assumptions!$C$16-I12)</f>
        <v>146450</v>
      </c>
      <c r="AA12" s="21" t="n">
        <f aca="false">W12*Assumptions!$C$17</f>
        <v>22911.205964277</v>
      </c>
      <c r="AB12" s="21" t="n">
        <f aca="false">K12*INDEX(Assumptions!$H$37:$H$38,MATCH(Q12,Assumptions!$B$37:$B$38,0))+Assumptions!$C$41+IF(N12="Y",Assumptions!$C$42,Assumptions!$C$43)</f>
        <v>18736.11</v>
      </c>
      <c r="AC12" s="21" t="n">
        <f aca="false">K12*INDEX(Assumptions!$C$37:$C$38,MATCH(Q12,Assumptions!$B$37:$B$38,0))</f>
        <v>10031.4</v>
      </c>
      <c r="AD12" s="21" t="n">
        <f aca="false">K12-AB12-W12*12</f>
        <v>-14401.5219285539</v>
      </c>
      <c r="AE12" s="21" t="n">
        <f aca="false">AD12-AC12</f>
        <v>-24432.9219285539</v>
      </c>
      <c r="AF12" s="23" t="n">
        <f aca="false">IFERROR(K12/H12,0)</f>
        <v>0.0993207920792079</v>
      </c>
      <c r="AG12" s="23" t="n">
        <f aca="false">IFERROR((K12-AB12-AC12)/H12,0)</f>
        <v>0.0423554257425743</v>
      </c>
      <c r="AH12" s="26" t="s">
        <v>182</v>
      </c>
      <c r="AI12" s="13" t="n">
        <v>16</v>
      </c>
      <c r="AJ12" s="26" t="s">
        <v>183</v>
      </c>
      <c r="AK12" s="33" t="s">
        <v>148</v>
      </c>
    </row>
    <row r="13" customFormat="false" ht="23.85" hidden="false" customHeight="false" outlineLevel="0" collapsed="false">
      <c r="A13" s="34" t="n">
        <v>8</v>
      </c>
      <c r="B13" s="35" t="s">
        <v>184</v>
      </c>
      <c r="C13" s="35" t="s">
        <v>141</v>
      </c>
      <c r="D13" s="36" t="s">
        <v>80</v>
      </c>
      <c r="E13" s="35" t="s">
        <v>142</v>
      </c>
      <c r="F13" s="35" t="s">
        <v>185</v>
      </c>
      <c r="G13" s="37" t="n">
        <v>550000</v>
      </c>
      <c r="H13" s="37" t="n">
        <v>530000</v>
      </c>
      <c r="I13" s="38" t="n">
        <v>0</v>
      </c>
      <c r="J13" s="39" t="n">
        <f aca="false">Assumptions!$C$15</f>
        <v>0.25</v>
      </c>
      <c r="K13" s="37" t="n">
        <v>48000</v>
      </c>
      <c r="L13" s="35" t="s">
        <v>186</v>
      </c>
      <c r="M13" s="36" t="s">
        <v>75</v>
      </c>
      <c r="N13" s="36" t="s">
        <v>145</v>
      </c>
      <c r="O13" s="37" t="n">
        <v>8</v>
      </c>
      <c r="P13" s="37"/>
      <c r="Q13" s="36" t="s">
        <v>100</v>
      </c>
      <c r="R13" s="40" t="n">
        <f aca="false">H13*(1-J13)</f>
        <v>397500</v>
      </c>
      <c r="S13" s="41" t="n">
        <f aca="false">IF((1-J13)&gt;0.75,Assumptions!$C$11,IF((1-J13)&gt;0.7,Assumptions!$C$12,Assumptions!$C$13))</f>
        <v>0.0725</v>
      </c>
      <c r="T13" s="40" t="n">
        <f aca="false">PMT(S13/12,Assumptions!$C$14,-R13)</f>
        <v>2711.65071322336</v>
      </c>
      <c r="U13" s="40" t="n">
        <f aca="false">H13*INDEX(Assumptions!$C$28:$C$34,MATCH(D13,Assumptions!$B$28:$B$34,0))/12</f>
        <v>662.5</v>
      </c>
      <c r="V13" s="40" t="n">
        <f aca="false">IF(ISNUMBER(P13),P13,INDEX(Assumptions!$D$28:$D$34,MATCH(D13,Assumptions!$B$28:$B$34,0))+INDEX(Assumptions!$C$22:$C$25,MATCH(M13,Assumptions!$B$22:$B$25,0)))/12</f>
        <v>750</v>
      </c>
      <c r="W13" s="40" t="n">
        <f aca="false">T13+U13+V13+O13</f>
        <v>4132.15071322336</v>
      </c>
      <c r="X13" s="42" t="n">
        <f aca="false">IFERROR(K13/12/W13,0)</f>
        <v>0.968018902892272</v>
      </c>
      <c r="Y13" s="42" t="n">
        <f aca="false">IFERROR(K13*Assumptions!$C$18/12/W13,0)</f>
        <v>0.774415122313818</v>
      </c>
      <c r="Z13" s="40" t="n">
        <f aca="false">H13*J13+H13*(Assumptions!$C$16-I13)</f>
        <v>153700</v>
      </c>
      <c r="AA13" s="40" t="n">
        <f aca="false">W13*Assumptions!$C$17</f>
        <v>24792.9042793402</v>
      </c>
      <c r="AB13" s="40" t="n">
        <f aca="false">K13*INDEX(Assumptions!$H$37:$H$38,MATCH(Q13,Assumptions!$B$37:$B$38,0))+Assumptions!$C$41+IF(N13="Y",Assumptions!$C$42,Assumptions!$C$43)</f>
        <v>20040</v>
      </c>
      <c r="AC13" s="40" t="n">
        <f aca="false">K13*INDEX(Assumptions!$C$37:$C$38,MATCH(Q13,Assumptions!$B$37:$B$38,0))</f>
        <v>9600</v>
      </c>
      <c r="AD13" s="40" t="n">
        <f aca="false">K13-AB13-W13*12</f>
        <v>-21625.8085586803</v>
      </c>
      <c r="AE13" s="40" t="n">
        <f aca="false">AD13-AC13</f>
        <v>-31225.8085586803</v>
      </c>
      <c r="AF13" s="43" t="n">
        <f aca="false">IFERROR(K13/H13,0)</f>
        <v>0.0905660377358491</v>
      </c>
      <c r="AG13" s="43" t="n">
        <f aca="false">IFERROR((K13-AB13-AC13)/H13,0)</f>
        <v>0.0346415094339623</v>
      </c>
      <c r="AH13" s="35" t="s">
        <v>187</v>
      </c>
      <c r="AI13" s="34" t="n">
        <v>12</v>
      </c>
      <c r="AJ13" s="35" t="s">
        <v>188</v>
      </c>
      <c r="AK13" s="44" t="s">
        <v>148</v>
      </c>
    </row>
    <row r="14" customFormat="false" ht="23.85" hidden="false" customHeight="false" outlineLevel="0" collapsed="false">
      <c r="A14" s="13" t="n">
        <v>9</v>
      </c>
      <c r="B14" s="26" t="s">
        <v>189</v>
      </c>
      <c r="C14" s="26" t="s">
        <v>158</v>
      </c>
      <c r="D14" s="27" t="s">
        <v>80</v>
      </c>
      <c r="E14" s="26" t="s">
        <v>142</v>
      </c>
      <c r="F14" s="26" t="s">
        <v>190</v>
      </c>
      <c r="G14" s="19" t="n">
        <v>385000</v>
      </c>
      <c r="H14" s="19" t="n">
        <v>360000</v>
      </c>
      <c r="I14" s="18" t="n">
        <v>0</v>
      </c>
      <c r="J14" s="28" t="n">
        <f aca="false">Assumptions!$C$15</f>
        <v>0.25</v>
      </c>
      <c r="K14" s="19" t="n">
        <v>40000</v>
      </c>
      <c r="L14" s="26" t="s">
        <v>191</v>
      </c>
      <c r="M14" s="27" t="s">
        <v>69</v>
      </c>
      <c r="N14" s="27" t="s">
        <v>154</v>
      </c>
      <c r="O14" s="19" t="n">
        <v>0</v>
      </c>
      <c r="P14" s="19"/>
      <c r="Q14" s="27" t="s">
        <v>100</v>
      </c>
      <c r="R14" s="21" t="n">
        <f aca="false">H14*(1-J14)</f>
        <v>270000</v>
      </c>
      <c r="S14" s="29" t="n">
        <f aca="false">IF((1-J14)&gt;0.75,Assumptions!$C$11,IF((1-J14)&gt;0.7,Assumptions!$C$12,Assumptions!$C$13))</f>
        <v>0.0725</v>
      </c>
      <c r="T14" s="21" t="n">
        <f aca="false">PMT(S14/12,Assumptions!$C$14,-R14)</f>
        <v>1841.87595615172</v>
      </c>
      <c r="U14" s="21" t="n">
        <f aca="false">H14*INDEX(Assumptions!$C$28:$C$34,MATCH(D14,Assumptions!$B$28:$B$34,0))/12</f>
        <v>450</v>
      </c>
      <c r="V14" s="21" t="n">
        <f aca="false">IF(ISNUMBER(P14),P14,INDEX(Assumptions!$D$28:$D$34,MATCH(D14,Assumptions!$B$28:$B$34,0))+INDEX(Assumptions!$C$22:$C$25,MATCH(M14,Assumptions!$B$22:$B$25,0)))/12</f>
        <v>666.666666666667</v>
      </c>
      <c r="W14" s="21" t="n">
        <f aca="false">T14+U14+V14+O14</f>
        <v>2958.54262281838</v>
      </c>
      <c r="X14" s="30" t="n">
        <f aca="false">IFERROR(K14/12/W14,0)</f>
        <v>1.12668085550781</v>
      </c>
      <c r="Y14" s="30" t="n">
        <f aca="false">IFERROR(K14*Assumptions!$C$18/12/W14,0)</f>
        <v>0.901344684406247</v>
      </c>
      <c r="Z14" s="21" t="n">
        <f aca="false">H14*J14+H14*(Assumptions!$C$16-I14)</f>
        <v>104400</v>
      </c>
      <c r="AA14" s="21" t="n">
        <f aca="false">W14*Assumptions!$C$17</f>
        <v>17751.2557369103</v>
      </c>
      <c r="AB14" s="21" t="n">
        <f aca="false">K14*INDEX(Assumptions!$H$37:$H$38,MATCH(Q14,Assumptions!$B$37:$B$38,0))+Assumptions!$C$41+IF(N14="Y",Assumptions!$C$42,Assumptions!$C$43)</f>
        <v>16400</v>
      </c>
      <c r="AC14" s="21" t="n">
        <f aca="false">K14*INDEX(Assumptions!$C$37:$C$38,MATCH(Q14,Assumptions!$B$37:$B$38,0))</f>
        <v>8000</v>
      </c>
      <c r="AD14" s="21" t="n">
        <f aca="false">K14-AB14-W14*12</f>
        <v>-11902.5114738206</v>
      </c>
      <c r="AE14" s="21" t="n">
        <f aca="false">AD14-AC14</f>
        <v>-19902.5114738206</v>
      </c>
      <c r="AF14" s="23" t="n">
        <f aca="false">IFERROR(K14/H14,0)</f>
        <v>0.111111111111111</v>
      </c>
      <c r="AG14" s="23" t="n">
        <f aca="false">IFERROR((K14-AB14-AC14)/H14,0)</f>
        <v>0.0433333333333333</v>
      </c>
      <c r="AH14" s="26" t="s">
        <v>192</v>
      </c>
      <c r="AI14" s="13" t="n">
        <v>214</v>
      </c>
      <c r="AJ14" s="26" t="s">
        <v>193</v>
      </c>
      <c r="AK14" s="33" t="s">
        <v>148</v>
      </c>
    </row>
    <row r="15" customFormat="false" ht="46.25" hidden="false" customHeight="false" outlineLevel="0" collapsed="false">
      <c r="A15" s="34" t="n">
        <v>10</v>
      </c>
      <c r="B15" s="35" t="s">
        <v>194</v>
      </c>
      <c r="C15" s="35" t="s">
        <v>195</v>
      </c>
      <c r="D15" s="36" t="s">
        <v>82</v>
      </c>
      <c r="E15" s="35" t="s">
        <v>196</v>
      </c>
      <c r="F15" s="35" t="s">
        <v>197</v>
      </c>
      <c r="G15" s="37" t="n">
        <v>655000</v>
      </c>
      <c r="H15" s="37" t="n">
        <v>655000</v>
      </c>
      <c r="I15" s="38" t="n">
        <v>0</v>
      </c>
      <c r="J15" s="39" t="n">
        <f aca="false">Assumptions!$C$15</f>
        <v>0.25</v>
      </c>
      <c r="K15" s="37" t="n">
        <v>102000</v>
      </c>
      <c r="L15" s="35" t="s">
        <v>198</v>
      </c>
      <c r="M15" s="36" t="s">
        <v>75</v>
      </c>
      <c r="N15" s="36" t="s">
        <v>154</v>
      </c>
      <c r="O15" s="37" t="n">
        <v>0</v>
      </c>
      <c r="P15" s="37"/>
      <c r="Q15" s="36" t="s">
        <v>102</v>
      </c>
      <c r="R15" s="40" t="n">
        <f aca="false">H15*(1-J15)</f>
        <v>491250</v>
      </c>
      <c r="S15" s="41" t="n">
        <f aca="false">IF((1-J15)&gt;0.75,Assumptions!$C$11,IF((1-J15)&gt;0.7,Assumptions!$C$12,Assumptions!$C$13))</f>
        <v>0.0725</v>
      </c>
      <c r="T15" s="40" t="n">
        <f aca="false">PMT(S15/12,Assumptions!$C$14,-R15)</f>
        <v>3351.19097577604</v>
      </c>
      <c r="U15" s="40" t="n">
        <f aca="false">H15*INDEX(Assumptions!$C$28:$C$34,MATCH(D15,Assumptions!$B$28:$B$34,0))/12</f>
        <v>736.875</v>
      </c>
      <c r="V15" s="40" t="n">
        <f aca="false">IF(ISNUMBER(P15),P15,INDEX(Assumptions!$D$28:$D$34,MATCH(D15,Assumptions!$B$28:$B$34,0))+INDEX(Assumptions!$C$22:$C$25,MATCH(M15,Assumptions!$B$22:$B$25,0)))/12</f>
        <v>750</v>
      </c>
      <c r="W15" s="40" t="n">
        <f aca="false">T15+U15+V15+O15</f>
        <v>4838.06597577604</v>
      </c>
      <c r="X15" s="42" t="n">
        <f aca="false">IFERROR(K15/12/W15,0)</f>
        <v>1.75690039006477</v>
      </c>
      <c r="Y15" s="42" t="n">
        <f aca="false">IFERROR(K15*Assumptions!$C$18/12/W15,0)</f>
        <v>1.40552031205181</v>
      </c>
      <c r="Z15" s="40" t="n">
        <f aca="false">H15*J15+H15*(Assumptions!$C$16-I15)</f>
        <v>189950</v>
      </c>
      <c r="AA15" s="40" t="n">
        <f aca="false">W15*Assumptions!$C$17</f>
        <v>29028.3958546563</v>
      </c>
      <c r="AB15" s="40" t="n">
        <f aca="false">K15*INDEX(Assumptions!$H$37:$H$38,MATCH(Q15,Assumptions!$B$37:$B$38,0))+Assumptions!$C$41+IF(N15="Y",Assumptions!$C$42,Assumptions!$C$43)</f>
        <v>20460</v>
      </c>
      <c r="AC15" s="40" t="n">
        <f aca="false">K15*INDEX(Assumptions!$C$37:$C$38,MATCH(Q15,Assumptions!$B$37:$B$38,0))</f>
        <v>12240</v>
      </c>
      <c r="AD15" s="40" t="n">
        <f aca="false">K15-AB15-W15*12</f>
        <v>23483.2082906875</v>
      </c>
      <c r="AE15" s="40" t="n">
        <f aca="false">AD15-AC15</f>
        <v>11243.2082906875</v>
      </c>
      <c r="AF15" s="43" t="n">
        <f aca="false">IFERROR(K15/H15,0)</f>
        <v>0.155725190839695</v>
      </c>
      <c r="AG15" s="43" t="n">
        <f aca="false">IFERROR((K15-AB15-AC15)/H15,0)</f>
        <v>0.105801526717557</v>
      </c>
      <c r="AH15" s="35" t="s">
        <v>199</v>
      </c>
      <c r="AI15" s="34" t="n">
        <v>5</v>
      </c>
      <c r="AJ15" s="35" t="s">
        <v>200</v>
      </c>
      <c r="AK15" s="44" t="s">
        <v>148</v>
      </c>
    </row>
    <row r="16" customFormat="false" ht="23.85" hidden="false" customHeight="false" outlineLevel="0" collapsed="false">
      <c r="A16" s="13" t="n">
        <v>11</v>
      </c>
      <c r="B16" s="26" t="s">
        <v>201</v>
      </c>
      <c r="C16" s="26" t="s">
        <v>202</v>
      </c>
      <c r="D16" s="27" t="s">
        <v>80</v>
      </c>
      <c r="E16" s="26" t="s">
        <v>203</v>
      </c>
      <c r="F16" s="26" t="s">
        <v>204</v>
      </c>
      <c r="G16" s="19" t="n">
        <v>279000</v>
      </c>
      <c r="H16" s="19" t="n">
        <v>279000</v>
      </c>
      <c r="I16" s="18" t="n">
        <v>0</v>
      </c>
      <c r="J16" s="28" t="n">
        <f aca="false">Assumptions!$C$15</f>
        <v>0.25</v>
      </c>
      <c r="K16" s="19" t="n">
        <v>44000</v>
      </c>
      <c r="L16" s="26" t="s">
        <v>205</v>
      </c>
      <c r="M16" s="27" t="s">
        <v>75</v>
      </c>
      <c r="N16" s="27" t="s">
        <v>154</v>
      </c>
      <c r="O16" s="19" t="n">
        <v>477</v>
      </c>
      <c r="P16" s="19"/>
      <c r="Q16" s="27" t="s">
        <v>100</v>
      </c>
      <c r="R16" s="21" t="n">
        <f aca="false">H16*(1-J16)</f>
        <v>209250</v>
      </c>
      <c r="S16" s="29" t="n">
        <f aca="false">IF((1-J16)&gt;0.75,Assumptions!$C$11,IF((1-J16)&gt;0.7,Assumptions!$C$12,Assumptions!$C$13))</f>
        <v>0.0725</v>
      </c>
      <c r="T16" s="21" t="n">
        <f aca="false">PMT(S16/12,Assumptions!$C$14,-R16)</f>
        <v>1427.45386601758</v>
      </c>
      <c r="U16" s="21" t="n">
        <f aca="false">H16*INDEX(Assumptions!$C$28:$C$34,MATCH(D16,Assumptions!$B$28:$B$34,0))/12</f>
        <v>348.75</v>
      </c>
      <c r="V16" s="21" t="n">
        <f aca="false">IF(ISNUMBER(P16),P16,INDEX(Assumptions!$D$28:$D$34,MATCH(D16,Assumptions!$B$28:$B$34,0))+INDEX(Assumptions!$C$22:$C$25,MATCH(M16,Assumptions!$B$22:$B$25,0)))/12</f>
        <v>750</v>
      </c>
      <c r="W16" s="21" t="n">
        <f aca="false">T16+U16+V16+O16</f>
        <v>3003.20386601758</v>
      </c>
      <c r="X16" s="30" t="n">
        <f aca="false">IFERROR(K16/12/W16,0)</f>
        <v>1.22091833596661</v>
      </c>
      <c r="Y16" s="30" t="n">
        <f aca="false">IFERROR(K16*Assumptions!$C$18/12/W16,0)</f>
        <v>0.976734668773286</v>
      </c>
      <c r="Z16" s="21" t="n">
        <f aca="false">H16*J16+H16*(Assumptions!$C$16-I16)</f>
        <v>80910</v>
      </c>
      <c r="AA16" s="21" t="n">
        <f aca="false">W16*Assumptions!$C$17</f>
        <v>18019.2231961055</v>
      </c>
      <c r="AB16" s="21" t="n">
        <f aca="false">K16*INDEX(Assumptions!$H$37:$H$38,MATCH(Q16,Assumptions!$B$37:$B$38,0))+Assumptions!$C$41+IF(N16="Y",Assumptions!$C$42,Assumptions!$C$43)</f>
        <v>17320</v>
      </c>
      <c r="AC16" s="21" t="n">
        <f aca="false">K16*INDEX(Assumptions!$C$37:$C$38,MATCH(Q16,Assumptions!$B$37:$B$38,0))</f>
        <v>8800</v>
      </c>
      <c r="AD16" s="21" t="n">
        <f aca="false">K16-AB16-W16*12</f>
        <v>-9358.44639221097</v>
      </c>
      <c r="AE16" s="21" t="n">
        <f aca="false">AD16-AC16</f>
        <v>-18158.446392211</v>
      </c>
      <c r="AF16" s="23" t="n">
        <f aca="false">IFERROR(K16/H16,0)</f>
        <v>0.157706093189964</v>
      </c>
      <c r="AG16" s="23" t="n">
        <f aca="false">IFERROR((K16-AB16-AC16)/H16,0)</f>
        <v>0.0640860215053763</v>
      </c>
      <c r="AH16" s="26"/>
      <c r="AI16" s="13" t="n">
        <v>55</v>
      </c>
      <c r="AJ16" s="26" t="s">
        <v>206</v>
      </c>
      <c r="AK16" s="33" t="s">
        <v>148</v>
      </c>
    </row>
    <row r="17" customFormat="false" ht="23.85" hidden="false" customHeight="false" outlineLevel="0" collapsed="false">
      <c r="A17" s="34" t="n">
        <v>12</v>
      </c>
      <c r="B17" s="35" t="s">
        <v>207</v>
      </c>
      <c r="C17" s="35" t="s">
        <v>208</v>
      </c>
      <c r="D17" s="36" t="s">
        <v>82</v>
      </c>
      <c r="E17" s="35" t="s">
        <v>209</v>
      </c>
      <c r="F17" s="35" t="s">
        <v>210</v>
      </c>
      <c r="G17" s="37" t="n">
        <v>639000</v>
      </c>
      <c r="H17" s="37" t="n">
        <v>639000</v>
      </c>
      <c r="I17" s="38" t="n">
        <v>0</v>
      </c>
      <c r="J17" s="39" t="n">
        <f aca="false">Assumptions!$C$15</f>
        <v>0.25</v>
      </c>
      <c r="K17" s="37" t="n">
        <v>50000</v>
      </c>
      <c r="L17" s="35" t="s">
        <v>211</v>
      </c>
      <c r="M17" s="36" t="s">
        <v>71</v>
      </c>
      <c r="N17" s="36" t="s">
        <v>154</v>
      </c>
      <c r="O17" s="37" t="n">
        <v>945</v>
      </c>
      <c r="P17" s="37"/>
      <c r="Q17" s="36" t="s">
        <v>100</v>
      </c>
      <c r="R17" s="40" t="n">
        <f aca="false">H17*(1-J17)</f>
        <v>479250</v>
      </c>
      <c r="S17" s="41" t="n">
        <f aca="false">IF((1-J17)&gt;0.75,Assumptions!$C$11,IF((1-J17)&gt;0.7,Assumptions!$C$12,Assumptions!$C$13))</f>
        <v>0.0725</v>
      </c>
      <c r="T17" s="40" t="n">
        <f aca="false">PMT(S17/12,Assumptions!$C$14,-R17)</f>
        <v>3269.3298221693</v>
      </c>
      <c r="U17" s="40" t="n">
        <f aca="false">H17*INDEX(Assumptions!$C$28:$C$34,MATCH(D17,Assumptions!$B$28:$B$34,0))/12</f>
        <v>718.875</v>
      </c>
      <c r="V17" s="40" t="n">
        <f aca="false">IF(ISNUMBER(P17),P17,INDEX(Assumptions!$D$28:$D$34,MATCH(D17,Assumptions!$B$28:$B$34,0))+INDEX(Assumptions!$C$22:$C$25,MATCH(M17,Assumptions!$B$22:$B$25,0)))/12</f>
        <v>958.333333333333</v>
      </c>
      <c r="W17" s="40" t="n">
        <f aca="false">T17+U17+V17+O17</f>
        <v>5891.53815550263</v>
      </c>
      <c r="X17" s="42" t="n">
        <f aca="false">IFERROR(K17/12/W17,0)</f>
        <v>0.707229004835528</v>
      </c>
      <c r="Y17" s="42" t="n">
        <f aca="false">IFERROR(K17*Assumptions!$C$18/12/W17,0)</f>
        <v>0.565783203868422</v>
      </c>
      <c r="Z17" s="40" t="n">
        <f aca="false">H17*J17+H17*(Assumptions!$C$16-I17)</f>
        <v>185310</v>
      </c>
      <c r="AA17" s="40" t="n">
        <f aca="false">W17*Assumptions!$C$17</f>
        <v>35349.2289330158</v>
      </c>
      <c r="AB17" s="40" t="n">
        <f aca="false">K17*INDEX(Assumptions!$H$37:$H$38,MATCH(Q17,Assumptions!$B$37:$B$38,0))+Assumptions!$C$41+IF(N17="Y",Assumptions!$C$42,Assumptions!$C$43)</f>
        <v>18700</v>
      </c>
      <c r="AC17" s="40" t="n">
        <f aca="false">K17*INDEX(Assumptions!$C$37:$C$38,MATCH(Q17,Assumptions!$B$37:$B$38,0))</f>
        <v>10000</v>
      </c>
      <c r="AD17" s="40" t="n">
        <f aca="false">K17-AB17-W17*12</f>
        <v>-39398.4578660316</v>
      </c>
      <c r="AE17" s="40" t="n">
        <f aca="false">AD17-AC17</f>
        <v>-49398.4578660316</v>
      </c>
      <c r="AF17" s="43" t="n">
        <f aca="false">IFERROR(K17/H17,0)</f>
        <v>0.0782472613458529</v>
      </c>
      <c r="AG17" s="43" t="n">
        <f aca="false">IFERROR((K17-AB17-AC17)/H17,0)</f>
        <v>0.0333333333333333</v>
      </c>
      <c r="AH17" s="35"/>
      <c r="AI17" s="34" t="n">
        <v>27</v>
      </c>
      <c r="AJ17" s="35" t="s">
        <v>212</v>
      </c>
      <c r="AK17" s="44" t="s">
        <v>148</v>
      </c>
    </row>
    <row r="20" customFormat="false" ht="15" hidden="false" customHeight="false" outlineLevel="0" collapsed="false">
      <c r="A20" s="10" t="s">
        <v>213</v>
      </c>
    </row>
    <row r="21" customFormat="false" ht="15" hidden="false" customHeight="false" outlineLevel="0" collapsed="false">
      <c r="B21" s="3" t="s">
        <v>3</v>
      </c>
      <c r="C21" s="3" t="s">
        <v>4</v>
      </c>
      <c r="G21" s="3" t="s">
        <v>214</v>
      </c>
      <c r="L21" s="3" t="s">
        <v>215</v>
      </c>
      <c r="AJ21" s="3" t="s">
        <v>216</v>
      </c>
      <c r="AK21" s="3" t="s">
        <v>217</v>
      </c>
    </row>
    <row r="22" customFormat="false" ht="35.05" hidden="false" customHeight="false" outlineLevel="0" collapsed="false">
      <c r="B22" s="26" t="s">
        <v>218</v>
      </c>
      <c r="C22" s="26" t="s">
        <v>141</v>
      </c>
      <c r="G22" s="19" t="n">
        <v>619000</v>
      </c>
      <c r="L22" s="26" t="s">
        <v>219</v>
      </c>
      <c r="AJ22" s="26" t="s">
        <v>220</v>
      </c>
      <c r="AK22" s="33" t="s">
        <v>148</v>
      </c>
    </row>
    <row r="23" customFormat="false" ht="23.85" hidden="false" customHeight="false" outlineLevel="0" collapsed="false">
      <c r="B23" s="26" t="s">
        <v>221</v>
      </c>
      <c r="C23" s="26" t="s">
        <v>222</v>
      </c>
      <c r="G23" s="19" t="n">
        <v>524900</v>
      </c>
      <c r="L23" s="26" t="s">
        <v>223</v>
      </c>
      <c r="AJ23" s="26" t="s">
        <v>220</v>
      </c>
      <c r="AK23" s="33" t="s">
        <v>148</v>
      </c>
    </row>
    <row r="24" customFormat="false" ht="23.85" hidden="false" customHeight="false" outlineLevel="0" collapsed="false">
      <c r="B24" s="26" t="s">
        <v>224</v>
      </c>
      <c r="C24" s="26" t="s">
        <v>158</v>
      </c>
      <c r="G24" s="19" t="n">
        <v>499000</v>
      </c>
      <c r="L24" s="26" t="s">
        <v>225</v>
      </c>
      <c r="AJ24" s="26" t="s">
        <v>220</v>
      </c>
      <c r="AK24" s="33" t="s">
        <v>148</v>
      </c>
    </row>
    <row r="25" customFormat="false" ht="23.85" hidden="false" customHeight="false" outlineLevel="0" collapsed="false">
      <c r="B25" s="26" t="s">
        <v>226</v>
      </c>
      <c r="C25" s="26" t="s">
        <v>141</v>
      </c>
      <c r="G25" s="19" t="n">
        <v>450000</v>
      </c>
      <c r="L25" s="26" t="s">
        <v>227</v>
      </c>
      <c r="AJ25" s="26" t="s">
        <v>220</v>
      </c>
      <c r="AK25" s="33" t="s">
        <v>148</v>
      </c>
    </row>
    <row r="26" customFormat="false" ht="35.05" hidden="false" customHeight="false" outlineLevel="0" collapsed="false">
      <c r="B26" s="26" t="s">
        <v>228</v>
      </c>
      <c r="C26" s="26" t="s">
        <v>158</v>
      </c>
      <c r="G26" s="19" t="n">
        <v>625000</v>
      </c>
      <c r="L26" s="26" t="s">
        <v>229</v>
      </c>
      <c r="AJ26" s="26" t="s">
        <v>220</v>
      </c>
      <c r="AK26" s="33" t="s">
        <v>148</v>
      </c>
    </row>
    <row r="27" customFormat="false" ht="35.05" hidden="false" customHeight="false" outlineLevel="0" collapsed="false">
      <c r="B27" s="26" t="s">
        <v>230</v>
      </c>
      <c r="C27" s="26" t="s">
        <v>231</v>
      </c>
      <c r="G27" s="19" t="n">
        <v>419999</v>
      </c>
      <c r="L27" s="26" t="s">
        <v>232</v>
      </c>
      <c r="AJ27" s="26" t="s">
        <v>220</v>
      </c>
      <c r="AK27" s="33" t="s">
        <v>148</v>
      </c>
    </row>
    <row r="28" customFormat="false" ht="23.85" hidden="false" customHeight="false" outlineLevel="0" collapsed="false">
      <c r="B28" s="26" t="s">
        <v>233</v>
      </c>
      <c r="C28" s="26" t="s">
        <v>234</v>
      </c>
      <c r="G28" s="19" t="n">
        <v>374900</v>
      </c>
      <c r="L28" s="26" t="s">
        <v>235</v>
      </c>
      <c r="AJ28" s="26" t="s">
        <v>220</v>
      </c>
      <c r="AK28" s="33" t="s">
        <v>148</v>
      </c>
    </row>
  </sheetData>
  <dataValidations count="3">
    <dataValidation allowBlank="false" errorStyle="stop" operator="between" showDropDown="false" showErrorMessage="false" showInputMessage="false" sqref="M6:M17" type="list">
      <formula1>Assumptions!$B$22:$B$25</formula1>
      <formula2>0</formula2>
    </dataValidation>
    <dataValidation allowBlank="false" errorStyle="stop" operator="between" showDropDown="false" showErrorMessage="false" showInputMessage="false" sqref="Q6:Q17" type="list">
      <formula1>"STR,Seasonal"</formula1>
      <formula2>0</formula2>
    </dataValidation>
    <dataValidation allowBlank="false" errorStyle="stop" operator="between" showDropDown="false" showErrorMessage="false" showInputMessage="false" sqref="N6:N17" type="list">
      <formula1>"Y,N"</formula1>
      <formula2>0</formula2>
    </dataValidation>
  </dataValidations>
  <hyperlinks>
    <hyperlink ref="AK6" r:id="rId2" display="Zillow"/>
    <hyperlink ref="AK7" r:id="rId3" display="Zillow"/>
    <hyperlink ref="AK8" r:id="rId4" display="Zillow"/>
    <hyperlink ref="AK9" r:id="rId5" display="Zillow"/>
    <hyperlink ref="AK10" r:id="rId6" display="Zillow"/>
    <hyperlink ref="AK11" r:id="rId7" display="Zillow"/>
    <hyperlink ref="AK12" r:id="rId8" display="Zillow"/>
    <hyperlink ref="AK13" r:id="rId9" display="Zillow"/>
    <hyperlink ref="AK14" r:id="rId10" display="Zillow"/>
    <hyperlink ref="AK15" r:id="rId11" display="Zillow"/>
    <hyperlink ref="AK16" r:id="rId12" display="Zillow"/>
    <hyperlink ref="AK17" r:id="rId13" display="Zillow"/>
    <hyperlink ref="AK22" r:id="rId14" display="Zillow"/>
    <hyperlink ref="AK23" r:id="rId15" display="Zillow"/>
    <hyperlink ref="AK24" r:id="rId16" display="Zillow"/>
    <hyperlink ref="AK25" r:id="rId17" display="Zillow"/>
    <hyperlink ref="AK26" r:id="rId18" display="Zillow"/>
    <hyperlink ref="AK27" r:id="rId19" display="Zillow"/>
    <hyperlink ref="AK28" r:id="rId20" display="Zillo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34"/>
    <col collapsed="false" customWidth="true" hidden="false" outlineLevel="0" max="13" min="13" style="0" width="9"/>
    <col collapsed="false" customWidth="true" hidden="false" outlineLevel="0" max="14" min="14" style="0" width="6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2"/>
    <col collapsed="false" customWidth="true" hidden="false" outlineLevel="0" max="19" min="19" style="0" width="8"/>
    <col collapsed="false" customWidth="true" hidden="false" outlineLevel="0" max="22" min="20" style="0" width="10"/>
    <col collapsed="false" customWidth="true" hidden="false" outlineLevel="0" max="23" min="23" style="0" width="11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12"/>
    <col collapsed="false" customWidth="true" hidden="false" outlineLevel="0" max="27" min="27" style="0" width="11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0" min="30" style="0" width="13"/>
    <col collapsed="false" customWidth="true" hidden="false" outlineLevel="0" max="31" min="31" style="0" width="12"/>
    <col collapsed="false" customWidth="true" hidden="false" outlineLevel="0" max="33" min="32" style="0" width="8"/>
    <col collapsed="false" customWidth="true" hidden="false" outlineLevel="0" max="34" min="34" style="0" width="16"/>
    <col collapsed="false" customWidth="true" hidden="false" outlineLevel="0" max="35" min="35" style="0" width="6"/>
    <col collapsed="false" customWidth="true" hidden="false" outlineLevel="0" max="36" min="36" style="0" width="50"/>
    <col collapsed="false" customWidth="true" hidden="false" outlineLevel="0" max="37" min="37" style="0" width="14"/>
  </cols>
  <sheetData>
    <row r="1" customFormat="false" ht="17.35" hidden="false" customHeight="false" outlineLevel="0" collapsed="false">
      <c r="A1" s="1" t="s">
        <v>236</v>
      </c>
    </row>
    <row r="2" customFormat="false" ht="15" hidden="false" customHeight="false" outlineLevel="0" collapsed="false">
      <c r="A2" s="2" t="s">
        <v>237</v>
      </c>
    </row>
    <row r="3" customFormat="false" ht="15" hidden="false" customHeight="false" outlineLevel="0" collapsed="false">
      <c r="A3" s="2" t="s">
        <v>111</v>
      </c>
    </row>
    <row r="5" customFormat="false" ht="42" hidden="false" customHeight="true" outlineLevel="0" collapsed="false">
      <c r="A5" s="3" t="s">
        <v>112</v>
      </c>
      <c r="B5" s="3" t="s">
        <v>3</v>
      </c>
      <c r="C5" s="3" t="s">
        <v>4</v>
      </c>
      <c r="D5" s="3" t="s">
        <v>113</v>
      </c>
      <c r="E5" s="3" t="s">
        <v>114</v>
      </c>
      <c r="F5" s="3" t="s">
        <v>115</v>
      </c>
      <c r="G5" s="3" t="s">
        <v>116</v>
      </c>
      <c r="H5" s="3" t="s">
        <v>5</v>
      </c>
      <c r="I5" s="3" t="s">
        <v>117</v>
      </c>
      <c r="J5" s="3" t="s">
        <v>118</v>
      </c>
      <c r="K5" s="3" t="s">
        <v>119</v>
      </c>
      <c r="L5" s="3" t="s">
        <v>120</v>
      </c>
      <c r="M5" s="3" t="s">
        <v>121</v>
      </c>
      <c r="N5" s="3" t="s">
        <v>122</v>
      </c>
      <c r="O5" s="3" t="s">
        <v>123</v>
      </c>
      <c r="P5" s="3" t="s">
        <v>124</v>
      </c>
      <c r="Q5" s="3" t="s">
        <v>125</v>
      </c>
      <c r="R5" s="24" t="s">
        <v>126</v>
      </c>
      <c r="S5" s="24" t="s">
        <v>127</v>
      </c>
      <c r="T5" s="24" t="s">
        <v>128</v>
      </c>
      <c r="U5" s="24" t="s">
        <v>129</v>
      </c>
      <c r="V5" s="24" t="s">
        <v>130</v>
      </c>
      <c r="W5" s="24" t="s">
        <v>7</v>
      </c>
      <c r="X5" s="24" t="s">
        <v>8</v>
      </c>
      <c r="Y5" s="24" t="s">
        <v>9</v>
      </c>
      <c r="Z5" s="24" t="s">
        <v>10</v>
      </c>
      <c r="AA5" s="24" t="s">
        <v>131</v>
      </c>
      <c r="AB5" s="24" t="s">
        <v>132</v>
      </c>
      <c r="AC5" s="24" t="s">
        <v>133</v>
      </c>
      <c r="AD5" s="24" t="s">
        <v>11</v>
      </c>
      <c r="AE5" s="24" t="s">
        <v>12</v>
      </c>
      <c r="AF5" s="24" t="s">
        <v>134</v>
      </c>
      <c r="AG5" s="24" t="s">
        <v>135</v>
      </c>
      <c r="AH5" s="3" t="s">
        <v>136</v>
      </c>
      <c r="AI5" s="3" t="s">
        <v>137</v>
      </c>
      <c r="AJ5" s="3" t="s">
        <v>138</v>
      </c>
      <c r="AK5" s="3" t="s">
        <v>139</v>
      </c>
    </row>
    <row r="6" customFormat="false" ht="46.25" hidden="false" customHeight="false" outlineLevel="0" collapsed="false">
      <c r="A6" s="13" t="n">
        <v>1</v>
      </c>
      <c r="B6" s="25" t="s">
        <v>238</v>
      </c>
      <c r="C6" s="26" t="s">
        <v>239</v>
      </c>
      <c r="D6" s="27" t="s">
        <v>18</v>
      </c>
      <c r="E6" s="26" t="s">
        <v>142</v>
      </c>
      <c r="F6" s="26" t="s">
        <v>240</v>
      </c>
      <c r="G6" s="19" t="n">
        <v>499000</v>
      </c>
      <c r="H6" s="19" t="n">
        <v>485000</v>
      </c>
      <c r="I6" s="18" t="n">
        <v>0</v>
      </c>
      <c r="J6" s="28" t="n">
        <f aca="false">Assumptions!$C$15</f>
        <v>0.25</v>
      </c>
      <c r="K6" s="19" t="n">
        <v>71000</v>
      </c>
      <c r="L6" s="26" t="s">
        <v>241</v>
      </c>
      <c r="M6" s="27" t="s">
        <v>75</v>
      </c>
      <c r="N6" s="27" t="s">
        <v>145</v>
      </c>
      <c r="O6" s="19" t="n">
        <v>0</v>
      </c>
      <c r="P6" s="19"/>
      <c r="Q6" s="27" t="s">
        <v>100</v>
      </c>
      <c r="R6" s="21" t="n">
        <f aca="false">H6*(1-J6)</f>
        <v>363750</v>
      </c>
      <c r="S6" s="29" t="n">
        <f aca="false">IF((1-J6)&gt;0.75,Assumptions!$C$11,IF((1-J6)&gt;0.7,Assumptions!$C$12,Assumptions!$C$13))</f>
        <v>0.0725</v>
      </c>
      <c r="T6" s="21" t="n">
        <f aca="false">PMT(S6/12,Assumptions!$C$14,-R6)</f>
        <v>2481.4162187044</v>
      </c>
      <c r="U6" s="21" t="n">
        <f aca="false">H6*INDEX(Assumptions!$C$28:$C$34,MATCH(D6,Assumptions!$B$28:$B$34,0))/12</f>
        <v>646.666666666667</v>
      </c>
      <c r="V6" s="21" t="n">
        <f aca="false">IF(ISNUMBER(P6),P6,INDEX(Assumptions!$D$28:$D$34,MATCH(D6,Assumptions!$B$28:$B$34,0))+INDEX(Assumptions!$C$22:$C$25,MATCH(M6,Assumptions!$B$22:$B$25,0)))/12</f>
        <v>750</v>
      </c>
      <c r="W6" s="21" t="n">
        <f aca="false">T6+U6+V6+O6</f>
        <v>3878.08288537106</v>
      </c>
      <c r="X6" s="30" t="n">
        <f aca="false">IFERROR(K6/12/W6,0)</f>
        <v>1.52566792447515</v>
      </c>
      <c r="Y6" s="31" t="n">
        <f aca="false">IFERROR(K6*Assumptions!$C$18/12/W6,0)</f>
        <v>1.22053433958012</v>
      </c>
      <c r="Z6" s="32" t="n">
        <f aca="false">H6*J6+H6*(Assumptions!$C$16-I6)</f>
        <v>140650</v>
      </c>
      <c r="AA6" s="21" t="n">
        <f aca="false">W6*Assumptions!$C$17</f>
        <v>23268.4973122264</v>
      </c>
      <c r="AB6" s="21" t="n">
        <f aca="false">K6*INDEX(Assumptions!$H$37:$H$38,MATCH(Q6,Assumptions!$B$37:$B$38,0))+Assumptions!$C$41+IF(N6="Y",Assumptions!$C$42,Assumptions!$C$43)</f>
        <v>25330</v>
      </c>
      <c r="AC6" s="21" t="n">
        <f aca="false">K6*INDEX(Assumptions!$C$37:$C$38,MATCH(Q6,Assumptions!$B$37:$B$38,0))</f>
        <v>14200</v>
      </c>
      <c r="AD6" s="21" t="n">
        <f aca="false">K6-AB6-W6*12</f>
        <v>-866.994624452775</v>
      </c>
      <c r="AE6" s="21" t="n">
        <f aca="false">AD6-AC6</f>
        <v>-15066.9946244528</v>
      </c>
      <c r="AF6" s="23" t="n">
        <f aca="false">IFERROR(K6/H6,0)</f>
        <v>0.14639175257732</v>
      </c>
      <c r="AG6" s="23" t="n">
        <f aca="false">IFERROR((K6-AB6-AC6)/H6,0)</f>
        <v>0.0648865979381443</v>
      </c>
      <c r="AH6" s="26"/>
      <c r="AI6" s="13" t="n">
        <v>29</v>
      </c>
      <c r="AJ6" s="26" t="s">
        <v>242</v>
      </c>
      <c r="AK6" s="33" t="s">
        <v>148</v>
      </c>
    </row>
    <row r="7" customFormat="false" ht="46.25" hidden="false" customHeight="false" outlineLevel="0" collapsed="false">
      <c r="A7" s="34" t="n">
        <v>2</v>
      </c>
      <c r="B7" s="35" t="s">
        <v>243</v>
      </c>
      <c r="C7" s="35" t="s">
        <v>244</v>
      </c>
      <c r="D7" s="36" t="s">
        <v>18</v>
      </c>
      <c r="E7" s="35" t="s">
        <v>142</v>
      </c>
      <c r="F7" s="35" t="s">
        <v>245</v>
      </c>
      <c r="G7" s="37" t="n">
        <v>500000</v>
      </c>
      <c r="H7" s="37" t="n">
        <v>485000</v>
      </c>
      <c r="I7" s="38" t="n">
        <v>0</v>
      </c>
      <c r="J7" s="39" t="n">
        <f aca="false">Assumptions!$C$15</f>
        <v>0.25</v>
      </c>
      <c r="K7" s="37" t="n">
        <v>85000</v>
      </c>
      <c r="L7" s="35" t="s">
        <v>246</v>
      </c>
      <c r="M7" s="36" t="s">
        <v>75</v>
      </c>
      <c r="N7" s="36" t="s">
        <v>145</v>
      </c>
      <c r="O7" s="37" t="n">
        <v>0</v>
      </c>
      <c r="P7" s="37"/>
      <c r="Q7" s="36" t="s">
        <v>100</v>
      </c>
      <c r="R7" s="40" t="n">
        <f aca="false">H7*(1-J7)</f>
        <v>363750</v>
      </c>
      <c r="S7" s="41" t="n">
        <f aca="false">IF((1-J7)&gt;0.75,Assumptions!$C$11,IF((1-J7)&gt;0.7,Assumptions!$C$12,Assumptions!$C$13))</f>
        <v>0.0725</v>
      </c>
      <c r="T7" s="40" t="n">
        <f aca="false">PMT(S7/12,Assumptions!$C$14,-R7)</f>
        <v>2481.4162187044</v>
      </c>
      <c r="U7" s="40" t="n">
        <f aca="false">H7*INDEX(Assumptions!$C$28:$C$34,MATCH(D7,Assumptions!$B$28:$B$34,0))/12</f>
        <v>646.666666666667</v>
      </c>
      <c r="V7" s="40" t="n">
        <f aca="false">IF(ISNUMBER(P7),P7,INDEX(Assumptions!$D$28:$D$34,MATCH(D7,Assumptions!$B$28:$B$34,0))+INDEX(Assumptions!$C$22:$C$25,MATCH(M7,Assumptions!$B$22:$B$25,0)))/12</f>
        <v>750</v>
      </c>
      <c r="W7" s="40" t="n">
        <f aca="false">T7+U7+V7+O7</f>
        <v>3878.08288537106</v>
      </c>
      <c r="X7" s="42" t="n">
        <f aca="false">IFERROR(K7/12/W7,0)</f>
        <v>1.8265038532449</v>
      </c>
      <c r="Y7" s="42" t="n">
        <f aca="false">IFERROR(K7*Assumptions!$C$18/12/W7,0)</f>
        <v>1.46120308259592</v>
      </c>
      <c r="Z7" s="40" t="n">
        <f aca="false">H7*J7+H7*(Assumptions!$C$16-I7)</f>
        <v>140650</v>
      </c>
      <c r="AA7" s="40" t="n">
        <f aca="false">W7*Assumptions!$C$17</f>
        <v>23268.4973122264</v>
      </c>
      <c r="AB7" s="40" t="n">
        <f aca="false">K7*INDEX(Assumptions!$H$37:$H$38,MATCH(Q7,Assumptions!$B$37:$B$38,0))+Assumptions!$C$41+IF(N7="Y",Assumptions!$C$42,Assumptions!$C$43)</f>
        <v>28550</v>
      </c>
      <c r="AC7" s="40" t="n">
        <f aca="false">K7*INDEX(Assumptions!$C$37:$C$38,MATCH(Q7,Assumptions!$B$37:$B$38,0))</f>
        <v>17000</v>
      </c>
      <c r="AD7" s="40" t="n">
        <f aca="false">K7-AB7-W7*12</f>
        <v>9913.00537554723</v>
      </c>
      <c r="AE7" s="40" t="n">
        <f aca="false">AD7-AC7</f>
        <v>-7086.99462445278</v>
      </c>
      <c r="AF7" s="43" t="n">
        <f aca="false">IFERROR(K7/H7,0)</f>
        <v>0.175257731958763</v>
      </c>
      <c r="AG7" s="43" t="n">
        <f aca="false">IFERROR((K7-AB7-AC7)/H7,0)</f>
        <v>0.081340206185567</v>
      </c>
      <c r="AH7" s="35"/>
      <c r="AI7" s="34" t="n">
        <v>18</v>
      </c>
      <c r="AJ7" s="35" t="s">
        <v>247</v>
      </c>
      <c r="AK7" s="44" t="s">
        <v>148</v>
      </c>
    </row>
    <row r="8" customFormat="false" ht="35.05" hidden="false" customHeight="false" outlineLevel="0" collapsed="false">
      <c r="A8" s="13" t="n">
        <v>3</v>
      </c>
      <c r="B8" s="26" t="s">
        <v>248</v>
      </c>
      <c r="C8" s="26" t="s">
        <v>249</v>
      </c>
      <c r="D8" s="27" t="s">
        <v>18</v>
      </c>
      <c r="E8" s="26" t="s">
        <v>142</v>
      </c>
      <c r="F8" s="26" t="s">
        <v>250</v>
      </c>
      <c r="G8" s="19" t="n">
        <v>359000</v>
      </c>
      <c r="H8" s="19" t="n">
        <v>340000</v>
      </c>
      <c r="I8" s="18" t="n">
        <v>0</v>
      </c>
      <c r="J8" s="28" t="n">
        <f aca="false">Assumptions!$C$15</f>
        <v>0.25</v>
      </c>
      <c r="K8" s="19" t="n">
        <v>51000</v>
      </c>
      <c r="L8" s="26" t="s">
        <v>251</v>
      </c>
      <c r="M8" s="27" t="s">
        <v>75</v>
      </c>
      <c r="N8" s="27" t="s">
        <v>154</v>
      </c>
      <c r="O8" s="19" t="n">
        <v>0</v>
      </c>
      <c r="P8" s="19"/>
      <c r="Q8" s="27" t="s">
        <v>100</v>
      </c>
      <c r="R8" s="21" t="n">
        <f aca="false">H8*(1-J8)</f>
        <v>255000</v>
      </c>
      <c r="S8" s="29" t="n">
        <f aca="false">IF((1-J8)&gt;0.75,Assumptions!$C$11,IF((1-J8)&gt;0.7,Assumptions!$C$12,Assumptions!$C$13))</f>
        <v>0.0725</v>
      </c>
      <c r="T8" s="21" t="n">
        <f aca="false">PMT(S8/12,Assumptions!$C$14,-R8)</f>
        <v>1739.54951414329</v>
      </c>
      <c r="U8" s="21" t="n">
        <f aca="false">H8*INDEX(Assumptions!$C$28:$C$34,MATCH(D8,Assumptions!$B$28:$B$34,0))/12</f>
        <v>453.333333333333</v>
      </c>
      <c r="V8" s="21" t="n">
        <f aca="false">IF(ISNUMBER(P8),P8,INDEX(Assumptions!$D$28:$D$34,MATCH(D8,Assumptions!$B$28:$B$34,0))+INDEX(Assumptions!$C$22:$C$25,MATCH(M8,Assumptions!$B$22:$B$25,0)))/12</f>
        <v>750</v>
      </c>
      <c r="W8" s="21" t="n">
        <f aca="false">T8+U8+V8+O8</f>
        <v>2942.88284747662</v>
      </c>
      <c r="X8" s="30" t="n">
        <f aca="false">IFERROR(K8/12/W8,0)</f>
        <v>1.4441621431326</v>
      </c>
      <c r="Y8" s="30" t="n">
        <f aca="false">IFERROR(K8*Assumptions!$C$18/12/W8,0)</f>
        <v>1.15532971450608</v>
      </c>
      <c r="Z8" s="21" t="n">
        <f aca="false">H8*J8+H8*(Assumptions!$C$16-I8)</f>
        <v>98600</v>
      </c>
      <c r="AA8" s="21" t="n">
        <f aca="false">W8*Assumptions!$C$17</f>
        <v>17657.2970848597</v>
      </c>
      <c r="AB8" s="21" t="n">
        <f aca="false">K8*INDEX(Assumptions!$H$37:$H$38,MATCH(Q8,Assumptions!$B$37:$B$38,0))+Assumptions!$C$41+IF(N8="Y",Assumptions!$C$42,Assumptions!$C$43)</f>
        <v>18930</v>
      </c>
      <c r="AC8" s="21" t="n">
        <f aca="false">K8*INDEX(Assumptions!$C$37:$C$38,MATCH(Q8,Assumptions!$B$37:$B$38,0))</f>
        <v>10200</v>
      </c>
      <c r="AD8" s="21" t="n">
        <f aca="false">K8-AB8-W8*12</f>
        <v>-3244.59416971947</v>
      </c>
      <c r="AE8" s="21" t="n">
        <f aca="false">AD8-AC8</f>
        <v>-13444.5941697195</v>
      </c>
      <c r="AF8" s="23" t="n">
        <f aca="false">IFERROR(K8/H8,0)</f>
        <v>0.15</v>
      </c>
      <c r="AG8" s="23" t="n">
        <f aca="false">IFERROR((K8-AB8-AC8)/H8,0)</f>
        <v>0.0643235294117647</v>
      </c>
      <c r="AH8" s="26"/>
      <c r="AI8" s="13" t="n">
        <v>257</v>
      </c>
      <c r="AJ8" s="26" t="s">
        <v>252</v>
      </c>
      <c r="AK8" s="33" t="s">
        <v>148</v>
      </c>
    </row>
    <row r="9" customFormat="false" ht="35.05" hidden="false" customHeight="false" outlineLevel="0" collapsed="false">
      <c r="A9" s="34" t="n">
        <v>4</v>
      </c>
      <c r="B9" s="35" t="s">
        <v>253</v>
      </c>
      <c r="C9" s="35" t="s">
        <v>254</v>
      </c>
      <c r="D9" s="36" t="s">
        <v>18</v>
      </c>
      <c r="E9" s="35" t="s">
        <v>203</v>
      </c>
      <c r="F9" s="35" t="s">
        <v>255</v>
      </c>
      <c r="G9" s="37" t="n">
        <v>659900</v>
      </c>
      <c r="H9" s="37" t="n">
        <v>640000</v>
      </c>
      <c r="I9" s="38" t="n">
        <v>0</v>
      </c>
      <c r="J9" s="39" t="n">
        <f aca="false">Assumptions!$C$15</f>
        <v>0.25</v>
      </c>
      <c r="K9" s="37" t="n">
        <v>75000</v>
      </c>
      <c r="L9" s="35" t="s">
        <v>256</v>
      </c>
      <c r="M9" s="36" t="s">
        <v>71</v>
      </c>
      <c r="N9" s="36" t="s">
        <v>154</v>
      </c>
      <c r="O9" s="37" t="n">
        <v>961</v>
      </c>
      <c r="P9" s="37"/>
      <c r="Q9" s="36" t="s">
        <v>100</v>
      </c>
      <c r="R9" s="40" t="n">
        <f aca="false">H9*(1-J9)</f>
        <v>480000</v>
      </c>
      <c r="S9" s="41" t="n">
        <f aca="false">IF((1-J9)&gt;0.75,Assumptions!$C$11,IF((1-J9)&gt;0.7,Assumptions!$C$12,Assumptions!$C$13))</f>
        <v>0.0725</v>
      </c>
      <c r="T9" s="40" t="n">
        <f aca="false">PMT(S9/12,Assumptions!$C$14,-R9)</f>
        <v>3274.44614426972</v>
      </c>
      <c r="U9" s="40" t="n">
        <f aca="false">H9*INDEX(Assumptions!$C$28:$C$34,MATCH(D9,Assumptions!$B$28:$B$34,0))/12</f>
        <v>853.333333333333</v>
      </c>
      <c r="V9" s="40" t="n">
        <f aca="false">IF(ISNUMBER(P9),P9,INDEX(Assumptions!$D$28:$D$34,MATCH(D9,Assumptions!$B$28:$B$34,0))+INDEX(Assumptions!$C$22:$C$25,MATCH(M9,Assumptions!$B$22:$B$25,0)))/12</f>
        <v>958.333333333333</v>
      </c>
      <c r="W9" s="40" t="n">
        <f aca="false">T9+U9+V9+O9</f>
        <v>6047.11281093639</v>
      </c>
      <c r="X9" s="42" t="n">
        <f aca="false">IFERROR(K9/12/W9,0)</f>
        <v>1.03355108386546</v>
      </c>
      <c r="Y9" s="42" t="n">
        <f aca="false">IFERROR(K9*Assumptions!$C$18/12/W9,0)</f>
        <v>0.826840867092367</v>
      </c>
      <c r="Z9" s="40" t="n">
        <f aca="false">H9*J9+H9*(Assumptions!$C$16-I9)</f>
        <v>185600</v>
      </c>
      <c r="AA9" s="40" t="n">
        <f aca="false">W9*Assumptions!$C$17</f>
        <v>36282.6768656183</v>
      </c>
      <c r="AB9" s="40" t="n">
        <f aca="false">K9*INDEX(Assumptions!$H$37:$H$38,MATCH(Q9,Assumptions!$B$37:$B$38,0))+Assumptions!$C$41+IF(N9="Y",Assumptions!$C$42,Assumptions!$C$43)</f>
        <v>24450</v>
      </c>
      <c r="AC9" s="40" t="n">
        <f aca="false">K9*INDEX(Assumptions!$C$37:$C$38,MATCH(Q9,Assumptions!$B$37:$B$38,0))</f>
        <v>15000</v>
      </c>
      <c r="AD9" s="40" t="n">
        <f aca="false">K9-AB9-W9*12</f>
        <v>-22015.3537312367</v>
      </c>
      <c r="AE9" s="40" t="n">
        <f aca="false">AD9-AC9</f>
        <v>-37015.3537312367</v>
      </c>
      <c r="AF9" s="43" t="n">
        <f aca="false">IFERROR(K9/H9,0)</f>
        <v>0.1171875</v>
      </c>
      <c r="AG9" s="43" t="n">
        <f aca="false">IFERROR((K9-AB9-AC9)/H9,0)</f>
        <v>0.055546875</v>
      </c>
      <c r="AH9" s="35"/>
      <c r="AI9" s="34" t="n">
        <v>36</v>
      </c>
      <c r="AJ9" s="35" t="s">
        <v>257</v>
      </c>
      <c r="AK9" s="44" t="s">
        <v>148</v>
      </c>
    </row>
    <row r="10" customFormat="false" ht="23.85" hidden="false" customHeight="false" outlineLevel="0" collapsed="false">
      <c r="A10" s="13" t="n">
        <v>5</v>
      </c>
      <c r="B10" s="26" t="s">
        <v>258</v>
      </c>
      <c r="C10" s="26" t="s">
        <v>254</v>
      </c>
      <c r="D10" s="27" t="s">
        <v>18</v>
      </c>
      <c r="E10" s="26" t="s">
        <v>203</v>
      </c>
      <c r="F10" s="26" t="s">
        <v>259</v>
      </c>
      <c r="G10" s="19" t="n">
        <v>575000</v>
      </c>
      <c r="H10" s="19" t="n">
        <v>560000</v>
      </c>
      <c r="I10" s="18" t="n">
        <v>0</v>
      </c>
      <c r="J10" s="28" t="n">
        <f aca="false">Assumptions!$C$15</f>
        <v>0.25</v>
      </c>
      <c r="K10" s="19" t="n">
        <v>59000</v>
      </c>
      <c r="L10" s="26" t="s">
        <v>260</v>
      </c>
      <c r="M10" s="27" t="s">
        <v>71</v>
      </c>
      <c r="N10" s="27" t="s">
        <v>154</v>
      </c>
      <c r="O10" s="19" t="n">
        <v>630</v>
      </c>
      <c r="P10" s="19"/>
      <c r="Q10" s="27" t="s">
        <v>100</v>
      </c>
      <c r="R10" s="21" t="n">
        <f aca="false">H10*(1-J10)</f>
        <v>420000</v>
      </c>
      <c r="S10" s="29" t="n">
        <f aca="false">IF((1-J10)&gt;0.75,Assumptions!$C$11,IF((1-J10)&gt;0.7,Assumptions!$C$12,Assumptions!$C$13))</f>
        <v>0.0725</v>
      </c>
      <c r="T10" s="21" t="n">
        <f aca="false">PMT(S10/12,Assumptions!$C$14,-R10)</f>
        <v>2865.14037623601</v>
      </c>
      <c r="U10" s="21" t="n">
        <f aca="false">H10*INDEX(Assumptions!$C$28:$C$34,MATCH(D10,Assumptions!$B$28:$B$34,0))/12</f>
        <v>746.666666666667</v>
      </c>
      <c r="V10" s="21" t="n">
        <f aca="false">IF(ISNUMBER(P10),P10,INDEX(Assumptions!$D$28:$D$34,MATCH(D10,Assumptions!$B$28:$B$34,0))+INDEX(Assumptions!$C$22:$C$25,MATCH(M10,Assumptions!$B$22:$B$25,0)))/12</f>
        <v>958.333333333333</v>
      </c>
      <c r="W10" s="21" t="n">
        <f aca="false">T10+U10+V10+O10</f>
        <v>5200.14037623601</v>
      </c>
      <c r="X10" s="30" t="n">
        <f aca="false">IFERROR(K10/12/W10,0)</f>
        <v>0.945487296676686</v>
      </c>
      <c r="Y10" s="30" t="n">
        <f aca="false">IFERROR(K10*Assumptions!$C$18/12/W10,0)</f>
        <v>0.756389837341349</v>
      </c>
      <c r="Z10" s="21" t="n">
        <f aca="false">H10*J10+H10*(Assumptions!$C$16-I10)</f>
        <v>162400</v>
      </c>
      <c r="AA10" s="21" t="n">
        <f aca="false">W10*Assumptions!$C$17</f>
        <v>31200.842257416</v>
      </c>
      <c r="AB10" s="21" t="n">
        <f aca="false">K10*INDEX(Assumptions!$H$37:$H$38,MATCH(Q10,Assumptions!$B$37:$B$38,0))+Assumptions!$C$41+IF(N10="Y",Assumptions!$C$42,Assumptions!$C$43)</f>
        <v>20770</v>
      </c>
      <c r="AC10" s="21" t="n">
        <f aca="false">K10*INDEX(Assumptions!$C$37:$C$38,MATCH(Q10,Assumptions!$B$37:$B$38,0))</f>
        <v>11800</v>
      </c>
      <c r="AD10" s="21" t="n">
        <f aca="false">K10-AB10-W10*12</f>
        <v>-24171.6845148321</v>
      </c>
      <c r="AE10" s="21" t="n">
        <f aca="false">AD10-AC10</f>
        <v>-35971.6845148321</v>
      </c>
      <c r="AF10" s="23" t="n">
        <f aca="false">IFERROR(K10/H10,0)</f>
        <v>0.105357142857143</v>
      </c>
      <c r="AG10" s="23" t="n">
        <f aca="false">IFERROR((K10-AB10-AC10)/H10,0)</f>
        <v>0.0471964285714286</v>
      </c>
      <c r="AH10" s="26"/>
      <c r="AI10" s="13" t="n">
        <v>18</v>
      </c>
      <c r="AJ10" s="26" t="s">
        <v>261</v>
      </c>
      <c r="AK10" s="33" t="s">
        <v>148</v>
      </c>
    </row>
    <row r="11" customFormat="false" ht="35.05" hidden="false" customHeight="false" outlineLevel="0" collapsed="false">
      <c r="A11" s="34" t="n">
        <v>6</v>
      </c>
      <c r="B11" s="35" t="s">
        <v>262</v>
      </c>
      <c r="C11" s="35" t="s">
        <v>263</v>
      </c>
      <c r="D11" s="36" t="s">
        <v>18</v>
      </c>
      <c r="E11" s="35" t="s">
        <v>209</v>
      </c>
      <c r="F11" s="35" t="s">
        <v>264</v>
      </c>
      <c r="G11" s="37" t="n">
        <v>614999</v>
      </c>
      <c r="H11" s="37" t="n">
        <v>590000</v>
      </c>
      <c r="I11" s="38" t="n">
        <v>0</v>
      </c>
      <c r="J11" s="39" t="n">
        <f aca="false">Assumptions!$C$15</f>
        <v>0.25</v>
      </c>
      <c r="K11" s="37" t="n">
        <v>47890</v>
      </c>
      <c r="L11" s="35" t="s">
        <v>265</v>
      </c>
      <c r="M11" s="36" t="s">
        <v>73</v>
      </c>
      <c r="N11" s="36" t="s">
        <v>154</v>
      </c>
      <c r="O11" s="37" t="n">
        <v>835</v>
      </c>
      <c r="P11" s="37"/>
      <c r="Q11" s="36" t="s">
        <v>102</v>
      </c>
      <c r="R11" s="40" t="n">
        <f aca="false">H11*(1-J11)</f>
        <v>442500</v>
      </c>
      <c r="S11" s="41" t="n">
        <f aca="false">IF((1-J11)&gt;0.75,Assumptions!$C$11,IF((1-J11)&gt;0.7,Assumptions!$C$12,Assumptions!$C$13))</f>
        <v>0.0725</v>
      </c>
      <c r="T11" s="40" t="n">
        <f aca="false">PMT(S11/12,Assumptions!$C$14,-R11)</f>
        <v>3018.63003924865</v>
      </c>
      <c r="U11" s="40" t="n">
        <f aca="false">H11*INDEX(Assumptions!$C$28:$C$34,MATCH(D11,Assumptions!$B$28:$B$34,0))/12</f>
        <v>786.666666666667</v>
      </c>
      <c r="V11" s="40" t="n">
        <f aca="false">IF(ISNUMBER(P11),P11,INDEX(Assumptions!$D$28:$D$34,MATCH(D11,Assumptions!$B$28:$B$34,0))+INDEX(Assumptions!$C$22:$C$25,MATCH(M11,Assumptions!$B$22:$B$25,0)))/12</f>
        <v>1333.33333333333</v>
      </c>
      <c r="W11" s="40" t="n">
        <f aca="false">T11+U11+V11+O11</f>
        <v>5973.63003924865</v>
      </c>
      <c r="X11" s="42" t="n">
        <f aca="false">IFERROR(K11/12/W11,0)</f>
        <v>0.668075074471015</v>
      </c>
      <c r="Y11" s="42" t="n">
        <f aca="false">IFERROR(K11*Assumptions!$C$18/12/W11,0)</f>
        <v>0.534460059576812</v>
      </c>
      <c r="Z11" s="40" t="n">
        <f aca="false">H11*J11+H11*(Assumptions!$C$16-I11)</f>
        <v>171100</v>
      </c>
      <c r="AA11" s="40" t="n">
        <f aca="false">W11*Assumptions!$C$17</f>
        <v>35841.7802354919</v>
      </c>
      <c r="AB11" s="40" t="n">
        <f aca="false">K11*INDEX(Assumptions!$H$37:$H$38,MATCH(Q11,Assumptions!$B$37:$B$38,0))+Assumptions!$C$41+IF(N11="Y",Assumptions!$C$42,Assumptions!$C$43)</f>
        <v>13425.7</v>
      </c>
      <c r="AC11" s="40" t="n">
        <f aca="false">K11*INDEX(Assumptions!$C$37:$C$38,MATCH(Q11,Assumptions!$B$37:$B$38,0))</f>
        <v>5746.8</v>
      </c>
      <c r="AD11" s="40" t="n">
        <f aca="false">K11-AB11-W11*12</f>
        <v>-37219.2604709838</v>
      </c>
      <c r="AE11" s="40" t="n">
        <f aca="false">AD11-AC11</f>
        <v>-42966.0604709838</v>
      </c>
      <c r="AF11" s="43" t="n">
        <f aca="false">IFERROR(K11/H11,0)</f>
        <v>0.0811694915254237</v>
      </c>
      <c r="AG11" s="43" t="n">
        <f aca="false">IFERROR((K11-AB11-AC11)/H11,0)</f>
        <v>0.0486737288135593</v>
      </c>
      <c r="AH11" s="35"/>
      <c r="AI11" s="34" t="n">
        <v>152</v>
      </c>
      <c r="AJ11" s="35" t="s">
        <v>266</v>
      </c>
      <c r="AK11" s="44" t="s">
        <v>148</v>
      </c>
    </row>
    <row r="12" customFormat="false" ht="35.05" hidden="false" customHeight="false" outlineLevel="0" collapsed="false">
      <c r="A12" s="13" t="n">
        <v>7</v>
      </c>
      <c r="B12" s="26" t="s">
        <v>267</v>
      </c>
      <c r="C12" s="26" t="s">
        <v>268</v>
      </c>
      <c r="D12" s="27" t="s">
        <v>18</v>
      </c>
      <c r="E12" s="26" t="s">
        <v>203</v>
      </c>
      <c r="F12" s="26" t="s">
        <v>269</v>
      </c>
      <c r="G12" s="19" t="n">
        <v>699000</v>
      </c>
      <c r="H12" s="19" t="n">
        <v>699000</v>
      </c>
      <c r="I12" s="18" t="n">
        <v>0</v>
      </c>
      <c r="J12" s="28" t="n">
        <f aca="false">Assumptions!$C$15</f>
        <v>0.25</v>
      </c>
      <c r="K12" s="19" t="n">
        <v>50000</v>
      </c>
      <c r="L12" s="26" t="s">
        <v>270</v>
      </c>
      <c r="M12" s="27" t="s">
        <v>71</v>
      </c>
      <c r="N12" s="27" t="s">
        <v>154</v>
      </c>
      <c r="O12" s="19" t="n">
        <v>1325</v>
      </c>
      <c r="P12" s="19"/>
      <c r="Q12" s="27" t="s">
        <v>100</v>
      </c>
      <c r="R12" s="21" t="n">
        <f aca="false">H12*(1-J12)</f>
        <v>524250</v>
      </c>
      <c r="S12" s="29" t="n">
        <f aca="false">IF((1-J12)&gt;0.75,Assumptions!$C$11,IF((1-J12)&gt;0.7,Assumptions!$C$12,Assumptions!$C$13))</f>
        <v>0.0725</v>
      </c>
      <c r="T12" s="21" t="n">
        <f aca="false">PMT(S12/12,Assumptions!$C$14,-R12)</f>
        <v>3576.30914819459</v>
      </c>
      <c r="U12" s="21" t="n">
        <f aca="false">H12*INDEX(Assumptions!$C$28:$C$34,MATCH(D12,Assumptions!$B$28:$B$34,0))/12</f>
        <v>932</v>
      </c>
      <c r="V12" s="21" t="n">
        <f aca="false">IF(ISNUMBER(P12),P12,INDEX(Assumptions!$D$28:$D$34,MATCH(D12,Assumptions!$B$28:$B$34,0))+INDEX(Assumptions!$C$22:$C$25,MATCH(M12,Assumptions!$B$22:$B$25,0)))/12</f>
        <v>958.333333333333</v>
      </c>
      <c r="W12" s="21" t="n">
        <f aca="false">T12+U12+V12+O12</f>
        <v>6791.64248152792</v>
      </c>
      <c r="X12" s="30" t="n">
        <f aca="false">IFERROR(K12/12/W12,0)</f>
        <v>0.613499117186936</v>
      </c>
      <c r="Y12" s="30" t="n">
        <f aca="false">IFERROR(K12*Assumptions!$C$18/12/W12,0)</f>
        <v>0.490799293749548</v>
      </c>
      <c r="Z12" s="21" t="n">
        <f aca="false">H12*J12+H12*(Assumptions!$C$16-I12)</f>
        <v>202710</v>
      </c>
      <c r="AA12" s="21" t="n">
        <f aca="false">W12*Assumptions!$C$17</f>
        <v>40749.8548891675</v>
      </c>
      <c r="AB12" s="21" t="n">
        <f aca="false">K12*INDEX(Assumptions!$H$37:$H$38,MATCH(Q12,Assumptions!$B$37:$B$38,0))+Assumptions!$C$41+IF(N12="Y",Assumptions!$C$42,Assumptions!$C$43)</f>
        <v>18700</v>
      </c>
      <c r="AC12" s="21" t="n">
        <f aca="false">K12*INDEX(Assumptions!$C$37:$C$38,MATCH(Q12,Assumptions!$B$37:$B$38,0))</f>
        <v>10000</v>
      </c>
      <c r="AD12" s="21" t="n">
        <f aca="false">K12-AB12-W12*12</f>
        <v>-50199.709778335</v>
      </c>
      <c r="AE12" s="21" t="n">
        <f aca="false">AD12-AC12</f>
        <v>-60199.709778335</v>
      </c>
      <c r="AF12" s="23" t="n">
        <f aca="false">IFERROR(K12/H12,0)</f>
        <v>0.0715307582260372</v>
      </c>
      <c r="AG12" s="23" t="n">
        <f aca="false">IFERROR((K12-AB12-AC12)/H12,0)</f>
        <v>0.0304721030042918</v>
      </c>
      <c r="AH12" s="26"/>
      <c r="AI12" s="13" t="n">
        <v>7</v>
      </c>
      <c r="AJ12" s="26" t="s">
        <v>271</v>
      </c>
      <c r="AK12" s="33" t="s">
        <v>148</v>
      </c>
    </row>
    <row r="15" customFormat="false" ht="15" hidden="false" customHeight="false" outlineLevel="0" collapsed="false">
      <c r="A15" s="10" t="s">
        <v>272</v>
      </c>
    </row>
    <row r="16" customFormat="false" ht="15" hidden="false" customHeight="false" outlineLevel="0" collapsed="false">
      <c r="B16" s="3" t="s">
        <v>3</v>
      </c>
      <c r="C16" s="3" t="s">
        <v>4</v>
      </c>
      <c r="G16" s="3" t="s">
        <v>214</v>
      </c>
      <c r="L16" s="3" t="s">
        <v>215</v>
      </c>
      <c r="AJ16" s="3" t="s">
        <v>216</v>
      </c>
      <c r="AK16" s="3" t="s">
        <v>217</v>
      </c>
    </row>
    <row r="17" customFormat="false" ht="35.05" hidden="false" customHeight="false" outlineLevel="0" collapsed="false">
      <c r="B17" s="26" t="s">
        <v>273</v>
      </c>
      <c r="C17" s="26" t="s">
        <v>274</v>
      </c>
      <c r="G17" s="19" t="n">
        <v>699000</v>
      </c>
      <c r="L17" s="26" t="s">
        <v>275</v>
      </c>
      <c r="AJ17" s="26" t="s">
        <v>220</v>
      </c>
      <c r="AK17" s="33" t="s">
        <v>148</v>
      </c>
    </row>
    <row r="18" customFormat="false" ht="35.05" hidden="false" customHeight="false" outlineLevel="0" collapsed="false">
      <c r="B18" s="26" t="s">
        <v>276</v>
      </c>
      <c r="C18" s="26" t="s">
        <v>277</v>
      </c>
      <c r="G18" s="19" t="n">
        <v>629000</v>
      </c>
      <c r="L18" s="26" t="s">
        <v>278</v>
      </c>
      <c r="AJ18" s="26" t="s">
        <v>220</v>
      </c>
      <c r="AK18" s="33" t="s">
        <v>148</v>
      </c>
    </row>
    <row r="19" customFormat="false" ht="35.05" hidden="false" customHeight="false" outlineLevel="0" collapsed="false">
      <c r="B19" s="26" t="s">
        <v>279</v>
      </c>
      <c r="C19" s="26" t="s">
        <v>280</v>
      </c>
      <c r="G19" s="19" t="n">
        <v>575000</v>
      </c>
      <c r="L19" s="26" t="s">
        <v>281</v>
      </c>
      <c r="AJ19" s="26" t="s">
        <v>220</v>
      </c>
      <c r="AK19" s="33" t="s">
        <v>148</v>
      </c>
    </row>
    <row r="20" customFormat="false" ht="23.85" hidden="false" customHeight="false" outlineLevel="0" collapsed="false">
      <c r="B20" s="26" t="s">
        <v>282</v>
      </c>
      <c r="C20" s="26" t="s">
        <v>274</v>
      </c>
      <c r="G20" s="19" t="n">
        <v>599000</v>
      </c>
      <c r="L20" s="26" t="s">
        <v>283</v>
      </c>
      <c r="AJ20" s="26" t="s">
        <v>220</v>
      </c>
      <c r="AK20" s="33" t="s">
        <v>148</v>
      </c>
    </row>
    <row r="21" customFormat="false" ht="35.05" hidden="false" customHeight="false" outlineLevel="0" collapsed="false">
      <c r="B21" s="26" t="s">
        <v>284</v>
      </c>
      <c r="C21" s="26" t="s">
        <v>285</v>
      </c>
      <c r="G21" s="19" t="n">
        <v>550000</v>
      </c>
      <c r="L21" s="26" t="s">
        <v>286</v>
      </c>
      <c r="AJ21" s="26" t="s">
        <v>220</v>
      </c>
      <c r="AK21" s="33" t="s">
        <v>148</v>
      </c>
    </row>
    <row r="22" customFormat="false" ht="23.85" hidden="false" customHeight="false" outlineLevel="0" collapsed="false">
      <c r="B22" s="26" t="s">
        <v>287</v>
      </c>
      <c r="C22" s="26" t="s">
        <v>288</v>
      </c>
      <c r="G22" s="19" t="n">
        <v>425000</v>
      </c>
      <c r="L22" s="26" t="s">
        <v>289</v>
      </c>
      <c r="AJ22" s="26" t="s">
        <v>220</v>
      </c>
      <c r="AK22" s="33" t="s">
        <v>148</v>
      </c>
    </row>
    <row r="23" customFormat="false" ht="35.05" hidden="false" customHeight="false" outlineLevel="0" collapsed="false">
      <c r="B23" s="26" t="s">
        <v>290</v>
      </c>
      <c r="C23" s="26" t="s">
        <v>291</v>
      </c>
      <c r="G23" s="19" t="n">
        <v>550000</v>
      </c>
      <c r="L23" s="26" t="s">
        <v>292</v>
      </c>
      <c r="AJ23" s="26" t="s">
        <v>220</v>
      </c>
      <c r="AK23" s="33" t="s">
        <v>148</v>
      </c>
    </row>
    <row r="24" customFormat="false" ht="23.85" hidden="false" customHeight="false" outlineLevel="0" collapsed="false">
      <c r="B24" s="26" t="s">
        <v>293</v>
      </c>
      <c r="C24" s="26" t="s">
        <v>294</v>
      </c>
      <c r="G24" s="19" t="n">
        <v>524900</v>
      </c>
      <c r="L24" s="26" t="s">
        <v>295</v>
      </c>
      <c r="AJ24" s="26" t="s">
        <v>220</v>
      </c>
      <c r="AK24" s="33" t="s">
        <v>148</v>
      </c>
    </row>
    <row r="25" customFormat="false" ht="35.05" hidden="false" customHeight="false" outlineLevel="0" collapsed="false">
      <c r="B25" s="26" t="s">
        <v>296</v>
      </c>
      <c r="C25" s="26" t="s">
        <v>297</v>
      </c>
      <c r="G25" s="19" t="n">
        <v>490000</v>
      </c>
      <c r="L25" s="26" t="s">
        <v>298</v>
      </c>
      <c r="AJ25" s="26" t="s">
        <v>220</v>
      </c>
      <c r="AK25" s="33" t="s">
        <v>148</v>
      </c>
    </row>
    <row r="26" customFormat="false" ht="23.85" hidden="false" customHeight="false" outlineLevel="0" collapsed="false">
      <c r="B26" s="26" t="s">
        <v>299</v>
      </c>
      <c r="C26" s="26" t="s">
        <v>297</v>
      </c>
      <c r="G26" s="19" t="n">
        <v>585000</v>
      </c>
      <c r="L26" s="26" t="s">
        <v>300</v>
      </c>
      <c r="AJ26" s="26" t="s">
        <v>220</v>
      </c>
      <c r="AK26" s="33" t="s">
        <v>148</v>
      </c>
    </row>
    <row r="27" customFormat="false" ht="23.85" hidden="false" customHeight="false" outlineLevel="0" collapsed="false">
      <c r="B27" s="26" t="s">
        <v>301</v>
      </c>
      <c r="C27" s="26" t="s">
        <v>288</v>
      </c>
      <c r="G27" s="19" t="n">
        <v>520000</v>
      </c>
      <c r="L27" s="26" t="s">
        <v>302</v>
      </c>
      <c r="AJ27" s="26" t="s">
        <v>220</v>
      </c>
      <c r="AK27" s="33" t="s">
        <v>148</v>
      </c>
    </row>
    <row r="28" customFormat="false" ht="35.05" hidden="false" customHeight="false" outlineLevel="0" collapsed="false">
      <c r="B28" s="26" t="s">
        <v>303</v>
      </c>
      <c r="C28" s="26" t="s">
        <v>304</v>
      </c>
      <c r="G28" s="19" t="n">
        <v>499900</v>
      </c>
      <c r="L28" s="26" t="s">
        <v>305</v>
      </c>
      <c r="AJ28" s="26" t="s">
        <v>220</v>
      </c>
      <c r="AK28" s="33" t="s">
        <v>148</v>
      </c>
    </row>
    <row r="29" customFormat="false" ht="46.25" hidden="false" customHeight="false" outlineLevel="0" collapsed="false">
      <c r="B29" s="26" t="s">
        <v>306</v>
      </c>
      <c r="C29" s="26" t="s">
        <v>307</v>
      </c>
      <c r="G29" s="19" t="n">
        <v>594900</v>
      </c>
      <c r="L29" s="26" t="s">
        <v>308</v>
      </c>
      <c r="AJ29" s="26" t="s">
        <v>220</v>
      </c>
      <c r="AK29" s="33" t="s">
        <v>148</v>
      </c>
    </row>
    <row r="30" customFormat="false" ht="35.05" hidden="false" customHeight="false" outlineLevel="0" collapsed="false">
      <c r="B30" s="26" t="s">
        <v>309</v>
      </c>
      <c r="C30" s="26" t="s">
        <v>310</v>
      </c>
      <c r="G30" s="19" t="n">
        <v>349900</v>
      </c>
      <c r="L30" s="26" t="s">
        <v>311</v>
      </c>
      <c r="AJ30" s="26" t="s">
        <v>220</v>
      </c>
      <c r="AK30" s="33" t="s">
        <v>148</v>
      </c>
    </row>
  </sheetData>
  <dataValidations count="3">
    <dataValidation allowBlank="false" errorStyle="stop" operator="between" showDropDown="false" showErrorMessage="false" showInputMessage="false" sqref="M6:M12" type="list">
      <formula1>Assumptions!$B$22:$B$25</formula1>
      <formula2>0</formula2>
    </dataValidation>
    <dataValidation allowBlank="false" errorStyle="stop" operator="between" showDropDown="false" showErrorMessage="false" showInputMessage="false" sqref="Q6:Q12" type="list">
      <formula1>"STR,Seasonal"</formula1>
      <formula2>0</formula2>
    </dataValidation>
    <dataValidation allowBlank="false" errorStyle="stop" operator="between" showDropDown="false" showErrorMessage="false" showInputMessage="false" sqref="N6:N12" type="list">
      <formula1>"Y,N"</formula1>
      <formula2>0</formula2>
    </dataValidation>
  </dataValidations>
  <hyperlinks>
    <hyperlink ref="AK6" r:id="rId2" display="Zillow"/>
    <hyperlink ref="AK7" r:id="rId3" display="Zillow"/>
    <hyperlink ref="AK8" r:id="rId4" display="Zillow"/>
    <hyperlink ref="AK9" r:id="rId5" display="Zillow"/>
    <hyperlink ref="AK10" r:id="rId6" display="Zillow"/>
    <hyperlink ref="AK11" r:id="rId7" display="Zillow"/>
    <hyperlink ref="AK12" r:id="rId8" display="Zillow"/>
    <hyperlink ref="AK17" r:id="rId9" display="Zillow"/>
    <hyperlink ref="AK18" r:id="rId10" display="Zillow"/>
    <hyperlink ref="AK19" r:id="rId11" display="Zillow"/>
    <hyperlink ref="AK20" r:id="rId12" display="Zillow"/>
    <hyperlink ref="AK21" r:id="rId13" display="Zillow"/>
    <hyperlink ref="AK22" r:id="rId14" display="Zillow"/>
    <hyperlink ref="AK23" r:id="rId15" display="Zillow"/>
    <hyperlink ref="AK24" r:id="rId16" display="Zillow"/>
    <hyperlink ref="AK25" r:id="rId17" display="Zillow"/>
    <hyperlink ref="AK26" r:id="rId18" display="Zillow"/>
    <hyperlink ref="AK27" r:id="rId19" display="Zillow"/>
    <hyperlink ref="AK28" r:id="rId20" display="Zillow"/>
    <hyperlink ref="AK29" r:id="rId21" display="Zillow"/>
    <hyperlink ref="AK30" r:id="rId22" display="Zillo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34"/>
    <col collapsed="false" customWidth="true" hidden="false" outlineLevel="0" max="13" min="13" style="0" width="9"/>
    <col collapsed="false" customWidth="true" hidden="false" outlineLevel="0" max="14" min="14" style="0" width="6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2"/>
    <col collapsed="false" customWidth="true" hidden="false" outlineLevel="0" max="19" min="19" style="0" width="8"/>
    <col collapsed="false" customWidth="true" hidden="false" outlineLevel="0" max="22" min="20" style="0" width="10"/>
    <col collapsed="false" customWidth="true" hidden="false" outlineLevel="0" max="23" min="23" style="0" width="11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12"/>
    <col collapsed="false" customWidth="true" hidden="false" outlineLevel="0" max="27" min="27" style="0" width="11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0" min="30" style="0" width="13"/>
    <col collapsed="false" customWidth="true" hidden="false" outlineLevel="0" max="31" min="31" style="0" width="12"/>
    <col collapsed="false" customWidth="true" hidden="false" outlineLevel="0" max="33" min="32" style="0" width="8"/>
    <col collapsed="false" customWidth="true" hidden="false" outlineLevel="0" max="34" min="34" style="0" width="16"/>
    <col collapsed="false" customWidth="true" hidden="false" outlineLevel="0" max="35" min="35" style="0" width="6"/>
    <col collapsed="false" customWidth="true" hidden="false" outlineLevel="0" max="36" min="36" style="0" width="50"/>
    <col collapsed="false" customWidth="true" hidden="false" outlineLevel="0" max="37" min="37" style="0" width="14"/>
  </cols>
  <sheetData>
    <row r="1" customFormat="false" ht="17.35" hidden="false" customHeight="false" outlineLevel="0" collapsed="false">
      <c r="A1" s="1" t="s">
        <v>312</v>
      </c>
    </row>
    <row r="2" customFormat="false" ht="15" hidden="false" customHeight="false" outlineLevel="0" collapsed="false">
      <c r="A2" s="2" t="s">
        <v>313</v>
      </c>
    </row>
    <row r="3" customFormat="false" ht="15" hidden="false" customHeight="false" outlineLevel="0" collapsed="false">
      <c r="A3" s="2" t="s">
        <v>111</v>
      </c>
    </row>
    <row r="5" customFormat="false" ht="42" hidden="false" customHeight="true" outlineLevel="0" collapsed="false">
      <c r="A5" s="3" t="s">
        <v>112</v>
      </c>
      <c r="B5" s="3" t="s">
        <v>3</v>
      </c>
      <c r="C5" s="3" t="s">
        <v>4</v>
      </c>
      <c r="D5" s="3" t="s">
        <v>113</v>
      </c>
      <c r="E5" s="3" t="s">
        <v>114</v>
      </c>
      <c r="F5" s="3" t="s">
        <v>115</v>
      </c>
      <c r="G5" s="3" t="s">
        <v>116</v>
      </c>
      <c r="H5" s="3" t="s">
        <v>5</v>
      </c>
      <c r="I5" s="3" t="s">
        <v>117</v>
      </c>
      <c r="J5" s="3" t="s">
        <v>118</v>
      </c>
      <c r="K5" s="3" t="s">
        <v>119</v>
      </c>
      <c r="L5" s="3" t="s">
        <v>120</v>
      </c>
      <c r="M5" s="3" t="s">
        <v>121</v>
      </c>
      <c r="N5" s="3" t="s">
        <v>122</v>
      </c>
      <c r="O5" s="3" t="s">
        <v>123</v>
      </c>
      <c r="P5" s="3" t="s">
        <v>124</v>
      </c>
      <c r="Q5" s="3" t="s">
        <v>125</v>
      </c>
      <c r="R5" s="24" t="s">
        <v>126</v>
      </c>
      <c r="S5" s="24" t="s">
        <v>127</v>
      </c>
      <c r="T5" s="24" t="s">
        <v>128</v>
      </c>
      <c r="U5" s="24" t="s">
        <v>129</v>
      </c>
      <c r="V5" s="24" t="s">
        <v>130</v>
      </c>
      <c r="W5" s="24" t="s">
        <v>7</v>
      </c>
      <c r="X5" s="24" t="s">
        <v>8</v>
      </c>
      <c r="Y5" s="24" t="s">
        <v>9</v>
      </c>
      <c r="Z5" s="24" t="s">
        <v>10</v>
      </c>
      <c r="AA5" s="24" t="s">
        <v>131</v>
      </c>
      <c r="AB5" s="24" t="s">
        <v>132</v>
      </c>
      <c r="AC5" s="24" t="s">
        <v>133</v>
      </c>
      <c r="AD5" s="24" t="s">
        <v>11</v>
      </c>
      <c r="AE5" s="24" t="s">
        <v>12</v>
      </c>
      <c r="AF5" s="24" t="s">
        <v>134</v>
      </c>
      <c r="AG5" s="24" t="s">
        <v>135</v>
      </c>
      <c r="AH5" s="3" t="s">
        <v>136</v>
      </c>
      <c r="AI5" s="3" t="s">
        <v>137</v>
      </c>
      <c r="AJ5" s="3" t="s">
        <v>138</v>
      </c>
      <c r="AK5" s="3" t="s">
        <v>139</v>
      </c>
    </row>
    <row r="6" customFormat="false" ht="46.25" hidden="false" customHeight="false" outlineLevel="0" collapsed="false">
      <c r="A6" s="13" t="n">
        <v>1</v>
      </c>
      <c r="B6" s="26" t="s">
        <v>314</v>
      </c>
      <c r="C6" s="26" t="s">
        <v>315</v>
      </c>
      <c r="D6" s="27" t="s">
        <v>85</v>
      </c>
      <c r="E6" s="26" t="s">
        <v>142</v>
      </c>
      <c r="F6" s="26" t="s">
        <v>316</v>
      </c>
      <c r="G6" s="19" t="n">
        <v>475000</v>
      </c>
      <c r="H6" s="19" t="n">
        <v>460000</v>
      </c>
      <c r="I6" s="18" t="n">
        <v>0</v>
      </c>
      <c r="J6" s="28" t="n">
        <f aca="false">Assumptions!$C$15</f>
        <v>0.25</v>
      </c>
      <c r="K6" s="19" t="n">
        <v>60000</v>
      </c>
      <c r="L6" s="26" t="s">
        <v>317</v>
      </c>
      <c r="M6" s="27" t="s">
        <v>75</v>
      </c>
      <c r="N6" s="27" t="s">
        <v>145</v>
      </c>
      <c r="O6" s="19" t="n">
        <v>0</v>
      </c>
      <c r="P6" s="19"/>
      <c r="Q6" s="27" t="s">
        <v>100</v>
      </c>
      <c r="R6" s="21" t="n">
        <f aca="false">H6*(1-J6)</f>
        <v>345000</v>
      </c>
      <c r="S6" s="29" t="n">
        <f aca="false">IF((1-J6)&gt;0.75,Assumptions!$C$11,IF((1-J6)&gt;0.7,Assumptions!$C$12,Assumptions!$C$13))</f>
        <v>0.0725</v>
      </c>
      <c r="T6" s="21" t="n">
        <f aca="false">PMT(S6/12,Assumptions!$C$14,-R6)</f>
        <v>2353.50816619386</v>
      </c>
      <c r="U6" s="21" t="n">
        <f aca="false">H6*INDEX(Assumptions!$C$28:$C$34,MATCH(D6,Assumptions!$B$28:$B$34,0))/12</f>
        <v>651.666666666667</v>
      </c>
      <c r="V6" s="21" t="n">
        <f aca="false">IF(ISNUMBER(P6),P6,INDEX(Assumptions!$D$28:$D$34,MATCH(D6,Assumptions!$B$28:$B$34,0))+INDEX(Assumptions!$C$22:$C$25,MATCH(M6,Assumptions!$B$22:$B$25,0)))/12</f>
        <v>750</v>
      </c>
      <c r="W6" s="21" t="n">
        <f aca="false">T6+U6+V6+O6</f>
        <v>3755.17483286053</v>
      </c>
      <c r="X6" s="30" t="n">
        <f aca="false">IFERROR(K6/12/W6,0)</f>
        <v>1.33149592829776</v>
      </c>
      <c r="Y6" s="30" t="n">
        <f aca="false">IFERROR(K6*Assumptions!$C$18/12/W6,0)</f>
        <v>1.0651967426382</v>
      </c>
      <c r="Z6" s="21" t="n">
        <f aca="false">H6*J6+H6*(Assumptions!$C$16-I6)</f>
        <v>133400</v>
      </c>
      <c r="AA6" s="21" t="n">
        <f aca="false">W6*Assumptions!$C$17</f>
        <v>22531.0489971632</v>
      </c>
      <c r="AB6" s="21" t="n">
        <f aca="false">K6*INDEX(Assumptions!$H$37:$H$38,MATCH(Q6,Assumptions!$B$37:$B$38,0))+Assumptions!$C$41+IF(N6="Y",Assumptions!$C$42,Assumptions!$C$43)</f>
        <v>22800</v>
      </c>
      <c r="AC6" s="21" t="n">
        <f aca="false">K6*INDEX(Assumptions!$C$37:$C$38,MATCH(Q6,Assumptions!$B$37:$B$38,0))</f>
        <v>12000</v>
      </c>
      <c r="AD6" s="21" t="n">
        <f aca="false">K6-AB6-W6*12</f>
        <v>-7862.09799432635</v>
      </c>
      <c r="AE6" s="21" t="n">
        <f aca="false">AD6-AC6</f>
        <v>-19862.0979943264</v>
      </c>
      <c r="AF6" s="23" t="n">
        <f aca="false">IFERROR(K6/H6,0)</f>
        <v>0.130434782608696</v>
      </c>
      <c r="AG6" s="23" t="n">
        <f aca="false">IFERROR((K6-AB6-AC6)/H6,0)</f>
        <v>0.0547826086956522</v>
      </c>
      <c r="AH6" s="26"/>
      <c r="AI6" s="13" t="n">
        <v>14</v>
      </c>
      <c r="AJ6" s="26" t="s">
        <v>318</v>
      </c>
      <c r="AK6" s="33" t="s">
        <v>148</v>
      </c>
    </row>
    <row r="7" customFormat="false" ht="35.05" hidden="false" customHeight="false" outlineLevel="0" collapsed="false">
      <c r="A7" s="34" t="n">
        <v>2</v>
      </c>
      <c r="B7" s="35" t="s">
        <v>319</v>
      </c>
      <c r="C7" s="35" t="s">
        <v>320</v>
      </c>
      <c r="D7" s="36" t="s">
        <v>85</v>
      </c>
      <c r="E7" s="35" t="s">
        <v>209</v>
      </c>
      <c r="F7" s="35" t="s">
        <v>321</v>
      </c>
      <c r="G7" s="37" t="n">
        <v>589900</v>
      </c>
      <c r="H7" s="37" t="n">
        <v>589900</v>
      </c>
      <c r="I7" s="38" t="n">
        <v>0</v>
      </c>
      <c r="J7" s="39" t="n">
        <f aca="false">Assumptions!$C$15</f>
        <v>0.25</v>
      </c>
      <c r="K7" s="37" t="n">
        <v>60000</v>
      </c>
      <c r="L7" s="35" t="s">
        <v>322</v>
      </c>
      <c r="M7" s="36" t="s">
        <v>71</v>
      </c>
      <c r="N7" s="36" t="s">
        <v>154</v>
      </c>
      <c r="O7" s="37" t="n">
        <v>583</v>
      </c>
      <c r="P7" s="37"/>
      <c r="Q7" s="36" t="s">
        <v>100</v>
      </c>
      <c r="R7" s="40" t="n">
        <f aca="false">H7*(1-J7)</f>
        <v>442425</v>
      </c>
      <c r="S7" s="41" t="n">
        <f aca="false">IF((1-J7)&gt;0.75,Assumptions!$C$11,IF((1-J7)&gt;0.7,Assumptions!$C$12,Assumptions!$C$13))</f>
        <v>0.0725</v>
      </c>
      <c r="T7" s="40" t="n">
        <f aca="false">PMT(S7/12,Assumptions!$C$14,-R7)</f>
        <v>3018.11840703861</v>
      </c>
      <c r="U7" s="40" t="n">
        <f aca="false">H7*INDEX(Assumptions!$C$28:$C$34,MATCH(D7,Assumptions!$B$28:$B$34,0))/12</f>
        <v>835.691666666667</v>
      </c>
      <c r="V7" s="40" t="n">
        <f aca="false">IF(ISNUMBER(P7),P7,INDEX(Assumptions!$D$28:$D$34,MATCH(D7,Assumptions!$B$28:$B$34,0))+INDEX(Assumptions!$C$22:$C$25,MATCH(M7,Assumptions!$B$22:$B$25,0)))/12</f>
        <v>958.333333333333</v>
      </c>
      <c r="W7" s="40" t="n">
        <f aca="false">T7+U7+V7+O7</f>
        <v>5395.14340703861</v>
      </c>
      <c r="X7" s="42" t="n">
        <f aca="false">IFERROR(K7/12/W7,0)</f>
        <v>0.926759424684969</v>
      </c>
      <c r="Y7" s="42" t="n">
        <f aca="false">IFERROR(K7*Assumptions!$C$18/12/W7,0)</f>
        <v>0.741407539747975</v>
      </c>
      <c r="Z7" s="40" t="n">
        <f aca="false">H7*J7+H7*(Assumptions!$C$16-I7)</f>
        <v>171071</v>
      </c>
      <c r="AA7" s="40" t="n">
        <f aca="false">W7*Assumptions!$C$17</f>
        <v>32370.8604422316</v>
      </c>
      <c r="AB7" s="40" t="n">
        <f aca="false">K7*INDEX(Assumptions!$H$37:$H$38,MATCH(Q7,Assumptions!$B$37:$B$38,0))+Assumptions!$C$41+IF(N7="Y",Assumptions!$C$42,Assumptions!$C$43)</f>
        <v>21000</v>
      </c>
      <c r="AC7" s="40" t="n">
        <f aca="false">K7*INDEX(Assumptions!$C$37:$C$38,MATCH(Q7,Assumptions!$B$37:$B$38,0))</f>
        <v>12000</v>
      </c>
      <c r="AD7" s="40" t="n">
        <f aca="false">K7-AB7-W7*12</f>
        <v>-25741.7208844633</v>
      </c>
      <c r="AE7" s="40" t="n">
        <f aca="false">AD7-AC7</f>
        <v>-37741.7208844633</v>
      </c>
      <c r="AF7" s="43" t="n">
        <f aca="false">IFERROR(K7/H7,0)</f>
        <v>0.101712154602475</v>
      </c>
      <c r="AG7" s="43" t="n">
        <f aca="false">IFERROR((K7-AB7-AC7)/H7,0)</f>
        <v>0.0457704695711138</v>
      </c>
      <c r="AH7" s="35"/>
      <c r="AI7" s="34" t="n">
        <v>23</v>
      </c>
      <c r="AJ7" s="35" t="s">
        <v>323</v>
      </c>
      <c r="AK7" s="44" t="s">
        <v>148</v>
      </c>
    </row>
    <row r="8" customFormat="false" ht="35.05" hidden="false" customHeight="false" outlineLevel="0" collapsed="false">
      <c r="A8" s="13" t="n">
        <v>3</v>
      </c>
      <c r="B8" s="26" t="s">
        <v>324</v>
      </c>
      <c r="C8" s="26" t="s">
        <v>325</v>
      </c>
      <c r="D8" s="27" t="s">
        <v>87</v>
      </c>
      <c r="E8" s="26" t="s">
        <v>209</v>
      </c>
      <c r="F8" s="26" t="s">
        <v>326</v>
      </c>
      <c r="G8" s="19" t="n">
        <v>530000</v>
      </c>
      <c r="H8" s="19" t="n">
        <v>530000</v>
      </c>
      <c r="I8" s="18" t="n">
        <v>0</v>
      </c>
      <c r="J8" s="28" t="n">
        <f aca="false">Assumptions!$C$15</f>
        <v>0.25</v>
      </c>
      <c r="K8" s="19" t="n">
        <v>29250</v>
      </c>
      <c r="L8" s="26" t="s">
        <v>327</v>
      </c>
      <c r="M8" s="27" t="s">
        <v>75</v>
      </c>
      <c r="N8" s="27" t="s">
        <v>154</v>
      </c>
      <c r="O8" s="19" t="n">
        <v>520</v>
      </c>
      <c r="P8" s="19"/>
      <c r="Q8" s="27" t="s">
        <v>102</v>
      </c>
      <c r="R8" s="21" t="n">
        <f aca="false">H8*(1-J8)</f>
        <v>397500</v>
      </c>
      <c r="S8" s="29" t="n">
        <f aca="false">IF((1-J8)&gt;0.75,Assumptions!$C$11,IF((1-J8)&gt;0.7,Assumptions!$C$12,Assumptions!$C$13))</f>
        <v>0.0725</v>
      </c>
      <c r="T8" s="21" t="n">
        <f aca="false">PMT(S8/12,Assumptions!$C$14,-R8)</f>
        <v>2711.65071322336</v>
      </c>
      <c r="U8" s="21" t="n">
        <f aca="false">H8*INDEX(Assumptions!$C$28:$C$34,MATCH(D8,Assumptions!$B$28:$B$34,0))/12</f>
        <v>728.75</v>
      </c>
      <c r="V8" s="21" t="n">
        <f aca="false">IF(ISNUMBER(P8),P8,INDEX(Assumptions!$D$28:$D$34,MATCH(D8,Assumptions!$B$28:$B$34,0))+INDEX(Assumptions!$C$22:$C$25,MATCH(M8,Assumptions!$B$22:$B$25,0)))/12</f>
        <v>750</v>
      </c>
      <c r="W8" s="21" t="n">
        <f aca="false">T8+U8+V8+O8</f>
        <v>4710.40071322336</v>
      </c>
      <c r="X8" s="30" t="n">
        <f aca="false">IFERROR(K8/12/W8,0)</f>
        <v>0.51747189854937</v>
      </c>
      <c r="Y8" s="30" t="n">
        <f aca="false">IFERROR(K8*Assumptions!$C$18/12/W8,0)</f>
        <v>0.413977518839496</v>
      </c>
      <c r="Z8" s="21" t="n">
        <f aca="false">H8*J8+H8*(Assumptions!$C$16-I8)</f>
        <v>153700</v>
      </c>
      <c r="AA8" s="21" t="n">
        <f aca="false">W8*Assumptions!$C$17</f>
        <v>28262.4042793402</v>
      </c>
      <c r="AB8" s="21" t="n">
        <f aca="false">K8*INDEX(Assumptions!$H$37:$H$38,MATCH(Q8,Assumptions!$B$37:$B$38,0))+Assumptions!$C$41+IF(N8="Y",Assumptions!$C$42,Assumptions!$C$43)</f>
        <v>11002.5</v>
      </c>
      <c r="AC8" s="21" t="n">
        <f aca="false">K8*INDEX(Assumptions!$C$37:$C$38,MATCH(Q8,Assumptions!$B$37:$B$38,0))</f>
        <v>3510</v>
      </c>
      <c r="AD8" s="21" t="n">
        <f aca="false">K8-AB8-W8*12</f>
        <v>-38277.3085586803</v>
      </c>
      <c r="AE8" s="21" t="n">
        <f aca="false">AD8-AC8</f>
        <v>-41787.3085586803</v>
      </c>
      <c r="AF8" s="23" t="n">
        <f aca="false">IFERROR(K8/H8,0)</f>
        <v>0.055188679245283</v>
      </c>
      <c r="AG8" s="23" t="n">
        <f aca="false">IFERROR((K8-AB8-AC8)/H8,0)</f>
        <v>0.0278066037735849</v>
      </c>
      <c r="AH8" s="26"/>
      <c r="AI8" s="13" t="n">
        <v>126</v>
      </c>
      <c r="AJ8" s="26" t="s">
        <v>328</v>
      </c>
      <c r="AK8" s="33" t="s">
        <v>148</v>
      </c>
    </row>
    <row r="11" customFormat="false" ht="15" hidden="false" customHeight="false" outlineLevel="0" collapsed="false">
      <c r="A11" s="10" t="s">
        <v>329</v>
      </c>
    </row>
    <row r="12" customFormat="false" ht="15" hidden="false" customHeight="false" outlineLevel="0" collapsed="false">
      <c r="B12" s="3" t="s">
        <v>3</v>
      </c>
      <c r="C12" s="3" t="s">
        <v>4</v>
      </c>
      <c r="G12" s="3" t="s">
        <v>214</v>
      </c>
      <c r="L12" s="3" t="s">
        <v>215</v>
      </c>
      <c r="AJ12" s="3" t="s">
        <v>216</v>
      </c>
      <c r="AK12" s="3" t="s">
        <v>217</v>
      </c>
    </row>
    <row r="13" customFormat="false" ht="68.65" hidden="false" customHeight="false" outlineLevel="0" collapsed="false">
      <c r="B13" s="26" t="s">
        <v>330</v>
      </c>
      <c r="C13" s="26" t="s">
        <v>331</v>
      </c>
      <c r="G13" s="19" t="n">
        <v>400000</v>
      </c>
      <c r="L13" s="26" t="s">
        <v>332</v>
      </c>
      <c r="AJ13" s="26" t="s">
        <v>333</v>
      </c>
      <c r="AK13" s="33" t="s">
        <v>334</v>
      </c>
    </row>
    <row r="14" customFormat="false" ht="35.05" hidden="false" customHeight="false" outlineLevel="0" collapsed="false">
      <c r="B14" s="26" t="s">
        <v>335</v>
      </c>
      <c r="C14" s="26" t="s">
        <v>331</v>
      </c>
      <c r="G14" s="19" t="n">
        <v>599000</v>
      </c>
      <c r="L14" s="26" t="s">
        <v>336</v>
      </c>
      <c r="AJ14" s="26" t="s">
        <v>220</v>
      </c>
      <c r="AK14" s="33" t="s">
        <v>148</v>
      </c>
    </row>
    <row r="15" customFormat="false" ht="23.85" hidden="false" customHeight="false" outlineLevel="0" collapsed="false">
      <c r="B15" s="26" t="s">
        <v>337</v>
      </c>
      <c r="C15" s="26" t="s">
        <v>338</v>
      </c>
      <c r="G15" s="19" t="n">
        <v>542500</v>
      </c>
      <c r="L15" s="26" t="s">
        <v>339</v>
      </c>
      <c r="AJ15" s="26" t="s">
        <v>220</v>
      </c>
      <c r="AK15" s="33" t="s">
        <v>148</v>
      </c>
    </row>
    <row r="16" customFormat="false" ht="35.05" hidden="false" customHeight="false" outlineLevel="0" collapsed="false">
      <c r="B16" s="26" t="s">
        <v>340</v>
      </c>
      <c r="C16" s="26" t="s">
        <v>331</v>
      </c>
      <c r="G16" s="19" t="n">
        <v>599900</v>
      </c>
      <c r="L16" s="26" t="s">
        <v>341</v>
      </c>
      <c r="AJ16" s="26" t="s">
        <v>220</v>
      </c>
      <c r="AK16" s="33" t="s">
        <v>148</v>
      </c>
    </row>
    <row r="17" customFormat="false" ht="35.05" hidden="false" customHeight="false" outlineLevel="0" collapsed="false">
      <c r="B17" s="26" t="s">
        <v>342</v>
      </c>
      <c r="C17" s="26" t="s">
        <v>331</v>
      </c>
      <c r="G17" s="19" t="n">
        <v>659900</v>
      </c>
      <c r="L17" s="26" t="s">
        <v>343</v>
      </c>
      <c r="AJ17" s="26" t="s">
        <v>220</v>
      </c>
      <c r="AK17" s="33" t="s">
        <v>148</v>
      </c>
    </row>
    <row r="18" customFormat="false" ht="15" hidden="false" customHeight="false" outlineLevel="0" collapsed="false">
      <c r="B18" s="26" t="s">
        <v>344</v>
      </c>
      <c r="C18" s="26" t="s">
        <v>338</v>
      </c>
      <c r="G18" s="19" t="n">
        <v>390000</v>
      </c>
      <c r="L18" s="26" t="s">
        <v>345</v>
      </c>
      <c r="AJ18" s="26" t="s">
        <v>220</v>
      </c>
      <c r="AK18" s="33" t="s">
        <v>148</v>
      </c>
    </row>
    <row r="19" customFormat="false" ht="23.85" hidden="false" customHeight="false" outlineLevel="0" collapsed="false">
      <c r="B19" s="26" t="s">
        <v>346</v>
      </c>
      <c r="C19" s="26" t="s">
        <v>347</v>
      </c>
      <c r="G19" s="19" t="n">
        <v>599000</v>
      </c>
      <c r="L19" s="26" t="s">
        <v>348</v>
      </c>
      <c r="AJ19" s="26" t="s">
        <v>220</v>
      </c>
      <c r="AK19" s="33" t="s">
        <v>148</v>
      </c>
    </row>
    <row r="20" customFormat="false" ht="35.05" hidden="false" customHeight="false" outlineLevel="0" collapsed="false">
      <c r="B20" s="26" t="s">
        <v>349</v>
      </c>
      <c r="C20" s="26" t="s">
        <v>350</v>
      </c>
      <c r="G20" s="19" t="n">
        <v>659000</v>
      </c>
      <c r="L20" s="26" t="s">
        <v>351</v>
      </c>
      <c r="AJ20" s="26" t="s">
        <v>220</v>
      </c>
      <c r="AK20" s="33" t="s">
        <v>148</v>
      </c>
    </row>
    <row r="21" customFormat="false" ht="23.85" hidden="false" customHeight="false" outlineLevel="0" collapsed="false">
      <c r="B21" s="26" t="s">
        <v>352</v>
      </c>
      <c r="C21" s="26" t="s">
        <v>353</v>
      </c>
      <c r="G21" s="19" t="n">
        <v>449900</v>
      </c>
      <c r="L21" s="26" t="s">
        <v>354</v>
      </c>
      <c r="AJ21" s="26" t="s">
        <v>220</v>
      </c>
      <c r="AK21" s="33" t="s">
        <v>148</v>
      </c>
    </row>
    <row r="22" customFormat="false" ht="23.85" hidden="false" customHeight="false" outlineLevel="0" collapsed="false">
      <c r="B22" s="26" t="s">
        <v>355</v>
      </c>
      <c r="C22" s="26" t="s">
        <v>356</v>
      </c>
      <c r="G22" s="19" t="n">
        <v>665000</v>
      </c>
      <c r="L22" s="26" t="s">
        <v>357</v>
      </c>
      <c r="AJ22" s="26" t="s">
        <v>220</v>
      </c>
      <c r="AK22" s="33" t="s">
        <v>148</v>
      </c>
    </row>
  </sheetData>
  <dataValidations count="3">
    <dataValidation allowBlank="false" errorStyle="stop" operator="between" showDropDown="false" showErrorMessage="false" showInputMessage="false" sqref="M6:M8" type="list">
      <formula1>Assumptions!$B$22:$B$25</formula1>
      <formula2>0</formula2>
    </dataValidation>
    <dataValidation allowBlank="false" errorStyle="stop" operator="between" showDropDown="false" showErrorMessage="false" showInputMessage="false" sqref="Q6:Q8" type="list">
      <formula1>"STR,Seasonal"</formula1>
      <formula2>0</formula2>
    </dataValidation>
    <dataValidation allowBlank="false" errorStyle="stop" operator="between" showDropDown="false" showErrorMessage="false" showInputMessage="false" sqref="N6:N8" type="list">
      <formula1>"Y,N"</formula1>
      <formula2>0</formula2>
    </dataValidation>
  </dataValidations>
  <hyperlinks>
    <hyperlink ref="AK6" r:id="rId1" display="Zillow"/>
    <hyperlink ref="AK7" r:id="rId2" display="Zillow"/>
    <hyperlink ref="AK8" r:id="rId3" display="Zillow"/>
    <hyperlink ref="AK13" r:id="rId4" display="Redfin"/>
    <hyperlink ref="AK14" r:id="rId5" display="Zillow"/>
    <hyperlink ref="AK15" r:id="rId6" display="Zillow"/>
    <hyperlink ref="AK16" r:id="rId7" display="Zillow"/>
    <hyperlink ref="AK17" r:id="rId8" display="Zillow"/>
    <hyperlink ref="AK18" r:id="rId9" display="Zillow"/>
    <hyperlink ref="AK19" r:id="rId10" display="Zillow"/>
    <hyperlink ref="AK20" r:id="rId11" display="Zillow"/>
    <hyperlink ref="AK21" r:id="rId12" display="Zillow"/>
    <hyperlink ref="AK22" r:id="rId13" display="Zillo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34"/>
    <col collapsed="false" customWidth="true" hidden="false" outlineLevel="0" max="13" min="13" style="0" width="9"/>
    <col collapsed="false" customWidth="true" hidden="false" outlineLevel="0" max="14" min="14" style="0" width="6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2"/>
    <col collapsed="false" customWidth="true" hidden="false" outlineLevel="0" max="19" min="19" style="0" width="8"/>
    <col collapsed="false" customWidth="true" hidden="false" outlineLevel="0" max="22" min="20" style="0" width="10"/>
    <col collapsed="false" customWidth="true" hidden="false" outlineLevel="0" max="23" min="23" style="0" width="11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12"/>
    <col collapsed="false" customWidth="true" hidden="false" outlineLevel="0" max="27" min="27" style="0" width="11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0" min="30" style="0" width="13"/>
    <col collapsed="false" customWidth="true" hidden="false" outlineLevel="0" max="31" min="31" style="0" width="12"/>
    <col collapsed="false" customWidth="true" hidden="false" outlineLevel="0" max="33" min="32" style="0" width="8"/>
    <col collapsed="false" customWidth="true" hidden="false" outlineLevel="0" max="34" min="34" style="0" width="16"/>
    <col collapsed="false" customWidth="true" hidden="false" outlineLevel="0" max="35" min="35" style="0" width="6"/>
    <col collapsed="false" customWidth="true" hidden="false" outlineLevel="0" max="36" min="36" style="0" width="50"/>
    <col collapsed="false" customWidth="true" hidden="false" outlineLevel="0" max="37" min="37" style="0" width="14"/>
  </cols>
  <sheetData>
    <row r="1" customFormat="false" ht="17.35" hidden="false" customHeight="false" outlineLevel="0" collapsed="false">
      <c r="A1" s="1" t="s">
        <v>358</v>
      </c>
    </row>
    <row r="2" customFormat="false" ht="15" hidden="false" customHeight="false" outlineLevel="0" collapsed="false">
      <c r="A2" s="2" t="s">
        <v>359</v>
      </c>
    </row>
    <row r="3" customFormat="false" ht="15" hidden="false" customHeight="false" outlineLevel="0" collapsed="false">
      <c r="A3" s="2" t="s">
        <v>111</v>
      </c>
    </row>
    <row r="5" customFormat="false" ht="42" hidden="false" customHeight="true" outlineLevel="0" collapsed="false">
      <c r="A5" s="3" t="s">
        <v>112</v>
      </c>
      <c r="B5" s="3" t="s">
        <v>3</v>
      </c>
      <c r="C5" s="3" t="s">
        <v>4</v>
      </c>
      <c r="D5" s="3" t="s">
        <v>113</v>
      </c>
      <c r="E5" s="3" t="s">
        <v>114</v>
      </c>
      <c r="F5" s="3" t="s">
        <v>115</v>
      </c>
      <c r="G5" s="3" t="s">
        <v>116</v>
      </c>
      <c r="H5" s="3" t="s">
        <v>5</v>
      </c>
      <c r="I5" s="3" t="s">
        <v>117</v>
      </c>
      <c r="J5" s="3" t="s">
        <v>118</v>
      </c>
      <c r="K5" s="3" t="s">
        <v>119</v>
      </c>
      <c r="L5" s="3" t="s">
        <v>120</v>
      </c>
      <c r="M5" s="3" t="s">
        <v>121</v>
      </c>
      <c r="N5" s="3" t="s">
        <v>122</v>
      </c>
      <c r="O5" s="3" t="s">
        <v>123</v>
      </c>
      <c r="P5" s="3" t="s">
        <v>124</v>
      </c>
      <c r="Q5" s="3" t="s">
        <v>125</v>
      </c>
      <c r="R5" s="24" t="s">
        <v>126</v>
      </c>
      <c r="S5" s="24" t="s">
        <v>127</v>
      </c>
      <c r="T5" s="24" t="s">
        <v>128</v>
      </c>
      <c r="U5" s="24" t="s">
        <v>129</v>
      </c>
      <c r="V5" s="24" t="s">
        <v>130</v>
      </c>
      <c r="W5" s="24" t="s">
        <v>7</v>
      </c>
      <c r="X5" s="24" t="s">
        <v>8</v>
      </c>
      <c r="Y5" s="24" t="s">
        <v>9</v>
      </c>
      <c r="Z5" s="24" t="s">
        <v>10</v>
      </c>
      <c r="AA5" s="24" t="s">
        <v>131</v>
      </c>
      <c r="AB5" s="24" t="s">
        <v>132</v>
      </c>
      <c r="AC5" s="24" t="s">
        <v>133</v>
      </c>
      <c r="AD5" s="24" t="s">
        <v>11</v>
      </c>
      <c r="AE5" s="24" t="s">
        <v>12</v>
      </c>
      <c r="AF5" s="24" t="s">
        <v>134</v>
      </c>
      <c r="AG5" s="24" t="s">
        <v>135</v>
      </c>
      <c r="AH5" s="3" t="s">
        <v>136</v>
      </c>
      <c r="AI5" s="3" t="s">
        <v>137</v>
      </c>
      <c r="AJ5" s="3" t="s">
        <v>138</v>
      </c>
      <c r="AK5" s="3" t="s">
        <v>139</v>
      </c>
    </row>
    <row r="6" customFormat="false" ht="46.25" hidden="false" customHeight="false" outlineLevel="0" collapsed="false">
      <c r="A6" s="13" t="n">
        <v>1</v>
      </c>
      <c r="B6" s="25" t="s">
        <v>360</v>
      </c>
      <c r="C6" s="26" t="s">
        <v>361</v>
      </c>
      <c r="D6" s="27" t="s">
        <v>91</v>
      </c>
      <c r="E6" s="26" t="s">
        <v>203</v>
      </c>
      <c r="F6" s="26" t="s">
        <v>362</v>
      </c>
      <c r="G6" s="19" t="n">
        <v>795000</v>
      </c>
      <c r="H6" s="19" t="n">
        <v>760000</v>
      </c>
      <c r="I6" s="18" t="n">
        <v>0</v>
      </c>
      <c r="J6" s="28" t="n">
        <f aca="false">Assumptions!$C$15</f>
        <v>0.25</v>
      </c>
      <c r="K6" s="19" t="n">
        <v>98980</v>
      </c>
      <c r="L6" s="26" t="s">
        <v>363</v>
      </c>
      <c r="M6" s="27" t="s">
        <v>71</v>
      </c>
      <c r="N6" s="27" t="s">
        <v>154</v>
      </c>
      <c r="O6" s="19" t="n">
        <v>1200</v>
      </c>
      <c r="P6" s="19" t="n">
        <v>3000</v>
      </c>
      <c r="Q6" s="27" t="s">
        <v>100</v>
      </c>
      <c r="R6" s="21" t="n">
        <f aca="false">H6*(1-J6)</f>
        <v>570000</v>
      </c>
      <c r="S6" s="29" t="n">
        <f aca="false">IF((1-J6)&gt;0.75,Assumptions!$C$11,IF((1-J6)&gt;0.7,Assumptions!$C$12,Assumptions!$C$13))</f>
        <v>0.0725</v>
      </c>
      <c r="T6" s="21" t="n">
        <f aca="false">PMT(S6/12,Assumptions!$C$14,-R6)</f>
        <v>3888.40479632029</v>
      </c>
      <c r="U6" s="21" t="n">
        <f aca="false">H6*INDEX(Assumptions!$C$28:$C$34,MATCH(D6,Assumptions!$B$28:$B$34,0))/12</f>
        <v>601.666666666667</v>
      </c>
      <c r="V6" s="21" t="n">
        <f aca="false">IF(ISNUMBER(P6),P6,INDEX(Assumptions!$D$28:$D$34,MATCH(D6,Assumptions!$B$28:$B$34,0))+INDEX(Assumptions!$C$22:$C$25,MATCH(M6,Assumptions!$B$22:$B$25,0)))/12</f>
        <v>250</v>
      </c>
      <c r="W6" s="21" t="n">
        <f aca="false">T6+U6+V6+O6</f>
        <v>5940.07146298696</v>
      </c>
      <c r="X6" s="30" t="n">
        <f aca="false">IFERROR(K6/12/W6,0)</f>
        <v>1.38859159939899</v>
      </c>
      <c r="Y6" s="31" t="n">
        <f aca="false">IFERROR(K6*Assumptions!$C$18/12/W6,0)</f>
        <v>1.11087327951919</v>
      </c>
      <c r="Z6" s="32" t="n">
        <f aca="false">H6*J6+H6*(Assumptions!$C$16-I6)</f>
        <v>220400</v>
      </c>
      <c r="AA6" s="21" t="n">
        <f aca="false">W6*Assumptions!$C$17</f>
        <v>35640.4287779218</v>
      </c>
      <c r="AB6" s="21" t="n">
        <f aca="false">K6*INDEX(Assumptions!$H$37:$H$38,MATCH(Q6,Assumptions!$B$37:$B$38,0))+Assumptions!$C$41+IF(N6="Y",Assumptions!$C$42,Assumptions!$C$43)</f>
        <v>29965.4</v>
      </c>
      <c r="AC6" s="21" t="n">
        <f aca="false">K6*INDEX(Assumptions!$C$37:$C$38,MATCH(Q6,Assumptions!$B$37:$B$38,0))</f>
        <v>19796</v>
      </c>
      <c r="AD6" s="21" t="n">
        <f aca="false">K6-AB6-W6*12</f>
        <v>-2266.25755584351</v>
      </c>
      <c r="AE6" s="21" t="n">
        <f aca="false">AD6-AC6</f>
        <v>-22062.2575558435</v>
      </c>
      <c r="AF6" s="23" t="n">
        <f aca="false">IFERROR(K6/H6,0)</f>
        <v>0.130236842105263</v>
      </c>
      <c r="AG6" s="23" t="n">
        <f aca="false">IFERROR((K6-AB6-AC6)/H6,0)</f>
        <v>0.0647613157894737</v>
      </c>
      <c r="AH6" s="26"/>
      <c r="AI6" s="13"/>
      <c r="AJ6" s="26" t="s">
        <v>364</v>
      </c>
      <c r="AK6" s="33" t="s">
        <v>148</v>
      </c>
    </row>
    <row r="7" customFormat="false" ht="35.05" hidden="false" customHeight="false" outlineLevel="0" collapsed="false">
      <c r="A7" s="34" t="n">
        <v>2</v>
      </c>
      <c r="B7" s="35" t="s">
        <v>365</v>
      </c>
      <c r="C7" s="35" t="s">
        <v>366</v>
      </c>
      <c r="D7" s="36" t="s">
        <v>91</v>
      </c>
      <c r="E7" s="35" t="s">
        <v>203</v>
      </c>
      <c r="F7" s="35" t="s">
        <v>367</v>
      </c>
      <c r="G7" s="37" t="n">
        <v>649900</v>
      </c>
      <c r="H7" s="37" t="n">
        <v>625000</v>
      </c>
      <c r="I7" s="38" t="n">
        <v>0</v>
      </c>
      <c r="J7" s="39" t="n">
        <f aca="false">Assumptions!$C$15</f>
        <v>0.25</v>
      </c>
      <c r="K7" s="37" t="n">
        <v>100000</v>
      </c>
      <c r="L7" s="35" t="s">
        <v>368</v>
      </c>
      <c r="M7" s="36" t="s">
        <v>71</v>
      </c>
      <c r="N7" s="36" t="s">
        <v>154</v>
      </c>
      <c r="O7" s="37" t="n">
        <v>1448</v>
      </c>
      <c r="P7" s="37" t="n">
        <v>3000</v>
      </c>
      <c r="Q7" s="36" t="s">
        <v>100</v>
      </c>
      <c r="R7" s="40" t="n">
        <f aca="false">H7*(1-J7)</f>
        <v>468750</v>
      </c>
      <c r="S7" s="41" t="n">
        <f aca="false">IF((1-J7)&gt;0.75,Assumptions!$C$11,IF((1-J7)&gt;0.7,Assumptions!$C$12,Assumptions!$C$13))</f>
        <v>0.0725</v>
      </c>
      <c r="T7" s="40" t="n">
        <f aca="false">PMT(S7/12,Assumptions!$C$14,-R7)</f>
        <v>3197.7013127634</v>
      </c>
      <c r="U7" s="40" t="n">
        <f aca="false">H7*INDEX(Assumptions!$C$28:$C$34,MATCH(D7,Assumptions!$B$28:$B$34,0))/12</f>
        <v>494.791666666667</v>
      </c>
      <c r="V7" s="40" t="n">
        <f aca="false">IF(ISNUMBER(P7),P7,INDEX(Assumptions!$D$28:$D$34,MATCH(D7,Assumptions!$B$28:$B$34,0))+INDEX(Assumptions!$C$22:$C$25,MATCH(M7,Assumptions!$B$22:$B$25,0)))/12</f>
        <v>250</v>
      </c>
      <c r="W7" s="40" t="n">
        <f aca="false">T7+U7+V7+O7</f>
        <v>5390.49297943007</v>
      </c>
      <c r="X7" s="42" t="n">
        <f aca="false">IFERROR(K7/12/W7,0)</f>
        <v>1.54593158086525</v>
      </c>
      <c r="Y7" s="42" t="n">
        <f aca="false">IFERROR(K7*Assumptions!$C$18/12/W7,0)</f>
        <v>1.2367452646922</v>
      </c>
      <c r="Z7" s="40" t="n">
        <f aca="false">H7*J7+H7*(Assumptions!$C$16-I7)</f>
        <v>181250</v>
      </c>
      <c r="AA7" s="40" t="n">
        <f aca="false">W7*Assumptions!$C$17</f>
        <v>32342.9578765804</v>
      </c>
      <c r="AB7" s="40" t="n">
        <f aca="false">K7*INDEX(Assumptions!$H$37:$H$38,MATCH(Q7,Assumptions!$B$37:$B$38,0))+Assumptions!$C$41+IF(N7="Y",Assumptions!$C$42,Assumptions!$C$43)</f>
        <v>30200</v>
      </c>
      <c r="AC7" s="40" t="n">
        <f aca="false">K7*INDEX(Assumptions!$C$37:$C$38,MATCH(Q7,Assumptions!$B$37:$B$38,0))</f>
        <v>20000</v>
      </c>
      <c r="AD7" s="40" t="n">
        <f aca="false">K7-AB7-W7*12</f>
        <v>5114.08424683921</v>
      </c>
      <c r="AE7" s="40" t="n">
        <f aca="false">AD7-AC7</f>
        <v>-14885.9157531608</v>
      </c>
      <c r="AF7" s="43" t="n">
        <f aca="false">IFERROR(K7/H7,0)</f>
        <v>0.16</v>
      </c>
      <c r="AG7" s="43" t="n">
        <f aca="false">IFERROR((K7-AB7-AC7)/H7,0)</f>
        <v>0.07968</v>
      </c>
      <c r="AH7" s="35" t="s">
        <v>369</v>
      </c>
      <c r="AI7" s="34"/>
      <c r="AJ7" s="35" t="s">
        <v>370</v>
      </c>
      <c r="AK7" s="44" t="s">
        <v>148</v>
      </c>
    </row>
    <row r="8" customFormat="false" ht="23.85" hidden="false" customHeight="false" outlineLevel="0" collapsed="false">
      <c r="A8" s="13" t="n">
        <v>3</v>
      </c>
      <c r="B8" s="26" t="s">
        <v>371</v>
      </c>
      <c r="C8" s="26" t="s">
        <v>366</v>
      </c>
      <c r="D8" s="27" t="s">
        <v>91</v>
      </c>
      <c r="E8" s="26" t="s">
        <v>203</v>
      </c>
      <c r="F8" s="26" t="s">
        <v>372</v>
      </c>
      <c r="G8" s="19" t="n">
        <v>699000</v>
      </c>
      <c r="H8" s="19" t="n">
        <v>670000</v>
      </c>
      <c r="I8" s="18" t="n">
        <v>0</v>
      </c>
      <c r="J8" s="28" t="n">
        <f aca="false">Assumptions!$C$15</f>
        <v>0.25</v>
      </c>
      <c r="K8" s="19" t="n">
        <v>57988</v>
      </c>
      <c r="L8" s="26" t="s">
        <v>373</v>
      </c>
      <c r="M8" s="27" t="s">
        <v>71</v>
      </c>
      <c r="N8" s="27" t="s">
        <v>154</v>
      </c>
      <c r="O8" s="19" t="n">
        <v>1448</v>
      </c>
      <c r="P8" s="19" t="n">
        <v>3000</v>
      </c>
      <c r="Q8" s="27" t="s">
        <v>100</v>
      </c>
      <c r="R8" s="21" t="n">
        <f aca="false">H8*(1-J8)</f>
        <v>502500</v>
      </c>
      <c r="S8" s="29" t="n">
        <f aca="false">IF((1-J8)&gt;0.75,Assumptions!$C$11,IF((1-J8)&gt;0.7,Assumptions!$C$12,Assumptions!$C$13))</f>
        <v>0.0725</v>
      </c>
      <c r="T8" s="21" t="n">
        <f aca="false">PMT(S8/12,Assumptions!$C$14,-R8)</f>
        <v>3427.93580728236</v>
      </c>
      <c r="U8" s="21" t="n">
        <f aca="false">H8*INDEX(Assumptions!$C$28:$C$34,MATCH(D8,Assumptions!$B$28:$B$34,0))/12</f>
        <v>530.416666666667</v>
      </c>
      <c r="V8" s="21" t="n">
        <f aca="false">IF(ISNUMBER(P8),P8,INDEX(Assumptions!$D$28:$D$34,MATCH(D8,Assumptions!$B$28:$B$34,0))+INDEX(Assumptions!$C$22:$C$25,MATCH(M8,Assumptions!$B$22:$B$25,0)))/12</f>
        <v>250</v>
      </c>
      <c r="W8" s="21" t="n">
        <f aca="false">T8+U8+V8+O8</f>
        <v>5656.35247394903</v>
      </c>
      <c r="X8" s="30" t="n">
        <f aca="false">IFERROR(K8/12/W8,0)</f>
        <v>0.854319697294182</v>
      </c>
      <c r="Y8" s="30" t="n">
        <f aca="false">IFERROR(K8*Assumptions!$C$18/12/W8,0)</f>
        <v>0.683455757835346</v>
      </c>
      <c r="Z8" s="21" t="n">
        <f aca="false">H8*J8+H8*(Assumptions!$C$16-I8)</f>
        <v>194300</v>
      </c>
      <c r="AA8" s="21" t="n">
        <f aca="false">W8*Assumptions!$C$17</f>
        <v>33938.1148436942</v>
      </c>
      <c r="AB8" s="21" t="n">
        <f aca="false">K8*INDEX(Assumptions!$H$37:$H$38,MATCH(Q8,Assumptions!$B$37:$B$38,0))+Assumptions!$C$41+IF(N8="Y",Assumptions!$C$42,Assumptions!$C$43)</f>
        <v>20537.24</v>
      </c>
      <c r="AC8" s="21" t="n">
        <f aca="false">K8*INDEX(Assumptions!$C$37:$C$38,MATCH(Q8,Assumptions!$B$37:$B$38,0))</f>
        <v>11597.6</v>
      </c>
      <c r="AD8" s="21" t="n">
        <f aca="false">K8-AB8-W8*12</f>
        <v>-30425.4696873884</v>
      </c>
      <c r="AE8" s="21" t="n">
        <f aca="false">AD8-AC8</f>
        <v>-42023.0696873884</v>
      </c>
      <c r="AF8" s="23" t="n">
        <f aca="false">IFERROR(K8/H8,0)</f>
        <v>0.0865492537313433</v>
      </c>
      <c r="AG8" s="23" t="n">
        <f aca="false">IFERROR((K8-AB8-AC8)/H8,0)</f>
        <v>0.0385868059701493</v>
      </c>
      <c r="AH8" s="26"/>
      <c r="AI8" s="13"/>
      <c r="AJ8" s="26" t="s">
        <v>374</v>
      </c>
      <c r="AK8" s="33" t="s">
        <v>148</v>
      </c>
    </row>
    <row r="9" customFormat="false" ht="23.85" hidden="false" customHeight="false" outlineLevel="0" collapsed="false">
      <c r="A9" s="34" t="n">
        <v>4</v>
      </c>
      <c r="B9" s="35" t="s">
        <v>375</v>
      </c>
      <c r="C9" s="35" t="s">
        <v>366</v>
      </c>
      <c r="D9" s="36" t="s">
        <v>91</v>
      </c>
      <c r="E9" s="35" t="s">
        <v>203</v>
      </c>
      <c r="F9" s="35" t="s">
        <v>376</v>
      </c>
      <c r="G9" s="37" t="n">
        <v>679000</v>
      </c>
      <c r="H9" s="37" t="n">
        <v>650000</v>
      </c>
      <c r="I9" s="38" t="n">
        <v>0</v>
      </c>
      <c r="J9" s="39" t="n">
        <f aca="false">Assumptions!$C$15</f>
        <v>0.25</v>
      </c>
      <c r="K9" s="37" t="n">
        <v>49000</v>
      </c>
      <c r="L9" s="35" t="s">
        <v>377</v>
      </c>
      <c r="M9" s="36" t="s">
        <v>71</v>
      </c>
      <c r="N9" s="36" t="s">
        <v>154</v>
      </c>
      <c r="O9" s="37" t="n">
        <v>1448</v>
      </c>
      <c r="P9" s="37" t="n">
        <v>3000</v>
      </c>
      <c r="Q9" s="36" t="s">
        <v>100</v>
      </c>
      <c r="R9" s="40" t="n">
        <f aca="false">H9*(1-J9)</f>
        <v>487500</v>
      </c>
      <c r="S9" s="41" t="n">
        <f aca="false">IF((1-J9)&gt;0.75,Assumptions!$C$11,IF((1-J9)&gt;0.7,Assumptions!$C$12,Assumptions!$C$13))</f>
        <v>0.0725</v>
      </c>
      <c r="T9" s="40" t="n">
        <f aca="false">PMT(S9/12,Assumptions!$C$14,-R9)</f>
        <v>3325.60936527394</v>
      </c>
      <c r="U9" s="40" t="n">
        <f aca="false">H9*INDEX(Assumptions!$C$28:$C$34,MATCH(D9,Assumptions!$B$28:$B$34,0))/12</f>
        <v>514.583333333333</v>
      </c>
      <c r="V9" s="40" t="n">
        <f aca="false">IF(ISNUMBER(P9),P9,INDEX(Assumptions!$D$28:$D$34,MATCH(D9,Assumptions!$B$28:$B$34,0))+INDEX(Assumptions!$C$22:$C$25,MATCH(M9,Assumptions!$B$22:$B$25,0)))/12</f>
        <v>250</v>
      </c>
      <c r="W9" s="40" t="n">
        <f aca="false">T9+U9+V9+O9</f>
        <v>5538.19269860727</v>
      </c>
      <c r="X9" s="42" t="n">
        <f aca="false">IFERROR(K9/12/W9,0)</f>
        <v>0.737304307659826</v>
      </c>
      <c r="Y9" s="42" t="n">
        <f aca="false">IFERROR(K9*Assumptions!$C$18/12/W9,0)</f>
        <v>0.58984344612786</v>
      </c>
      <c r="Z9" s="40" t="n">
        <f aca="false">H9*J9+H9*(Assumptions!$C$16-I9)</f>
        <v>188500</v>
      </c>
      <c r="AA9" s="40" t="n">
        <f aca="false">W9*Assumptions!$C$17</f>
        <v>33229.1561916436</v>
      </c>
      <c r="AB9" s="40" t="n">
        <f aca="false">K9*INDEX(Assumptions!$H$37:$H$38,MATCH(Q9,Assumptions!$B$37:$B$38,0))+Assumptions!$C$41+IF(N9="Y",Assumptions!$C$42,Assumptions!$C$43)</f>
        <v>18470</v>
      </c>
      <c r="AC9" s="40" t="n">
        <f aca="false">K9*INDEX(Assumptions!$C$37:$C$38,MATCH(Q9,Assumptions!$B$37:$B$38,0))</f>
        <v>9800</v>
      </c>
      <c r="AD9" s="40" t="n">
        <f aca="false">K9-AB9-W9*12</f>
        <v>-35928.3123832872</v>
      </c>
      <c r="AE9" s="40" t="n">
        <f aca="false">AD9-AC9</f>
        <v>-45728.3123832872</v>
      </c>
      <c r="AF9" s="43" t="n">
        <f aca="false">IFERROR(K9/H9,0)</f>
        <v>0.0753846153846154</v>
      </c>
      <c r="AG9" s="43" t="n">
        <f aca="false">IFERROR((K9-AB9-AC9)/H9,0)</f>
        <v>0.0318923076923077</v>
      </c>
      <c r="AH9" s="35"/>
      <c r="AI9" s="34"/>
      <c r="AJ9" s="35" t="s">
        <v>378</v>
      </c>
      <c r="AK9" s="44" t="s">
        <v>148</v>
      </c>
    </row>
    <row r="10" customFormat="false" ht="35.05" hidden="false" customHeight="false" outlineLevel="0" collapsed="false">
      <c r="A10" s="13" t="n">
        <v>5</v>
      </c>
      <c r="B10" s="26" t="s">
        <v>379</v>
      </c>
      <c r="C10" s="26" t="s">
        <v>380</v>
      </c>
      <c r="D10" s="27" t="s">
        <v>91</v>
      </c>
      <c r="E10" s="26" t="s">
        <v>203</v>
      </c>
      <c r="F10" s="26" t="s">
        <v>381</v>
      </c>
      <c r="G10" s="19" t="n">
        <v>849000</v>
      </c>
      <c r="H10" s="19" t="n">
        <v>800000</v>
      </c>
      <c r="I10" s="18" t="n">
        <v>0</v>
      </c>
      <c r="J10" s="28" t="n">
        <f aca="false">Assumptions!$C$15</f>
        <v>0.25</v>
      </c>
      <c r="K10" s="19" t="n">
        <v>100000</v>
      </c>
      <c r="L10" s="26" t="s">
        <v>382</v>
      </c>
      <c r="M10" s="27" t="s">
        <v>71</v>
      </c>
      <c r="N10" s="27" t="s">
        <v>154</v>
      </c>
      <c r="O10" s="19" t="n">
        <v>1404</v>
      </c>
      <c r="P10" s="19" t="n">
        <v>3000</v>
      </c>
      <c r="Q10" s="27" t="s">
        <v>100</v>
      </c>
      <c r="R10" s="21" t="n">
        <f aca="false">H10*(1-J10)</f>
        <v>600000</v>
      </c>
      <c r="S10" s="29" t="n">
        <f aca="false">IF((1-J10)&gt;0.75,Assumptions!$C$11,IF((1-J10)&gt;0.7,Assumptions!$C$12,Assumptions!$C$13))</f>
        <v>0.0725</v>
      </c>
      <c r="T10" s="21" t="n">
        <f aca="false">PMT(S10/12,Assumptions!$C$14,-R10)</f>
        <v>4093.05768033715</v>
      </c>
      <c r="U10" s="21" t="n">
        <f aca="false">H10*INDEX(Assumptions!$C$28:$C$34,MATCH(D10,Assumptions!$B$28:$B$34,0))/12</f>
        <v>633.333333333333</v>
      </c>
      <c r="V10" s="21" t="n">
        <f aca="false">IF(ISNUMBER(P10),P10,INDEX(Assumptions!$D$28:$D$34,MATCH(D10,Assumptions!$B$28:$B$34,0))+INDEX(Assumptions!$C$22:$C$25,MATCH(M10,Assumptions!$B$22:$B$25,0)))/12</f>
        <v>250</v>
      </c>
      <c r="W10" s="21" t="n">
        <f aca="false">T10+U10+V10+O10</f>
        <v>6380.39101367049</v>
      </c>
      <c r="X10" s="30" t="n">
        <f aca="false">IFERROR(K10/12/W10,0)</f>
        <v>1.30608505269952</v>
      </c>
      <c r="Y10" s="30" t="n">
        <f aca="false">IFERROR(K10*Assumptions!$C$18/12/W10,0)</f>
        <v>1.04486804215961</v>
      </c>
      <c r="Z10" s="21" t="n">
        <f aca="false">H10*J10+H10*(Assumptions!$C$16-I10)</f>
        <v>232000</v>
      </c>
      <c r="AA10" s="21" t="n">
        <f aca="false">W10*Assumptions!$C$17</f>
        <v>38282.3460820229</v>
      </c>
      <c r="AB10" s="21" t="n">
        <f aca="false">K10*INDEX(Assumptions!$H$37:$H$38,MATCH(Q10,Assumptions!$B$37:$B$38,0))+Assumptions!$C$41+IF(N10="Y",Assumptions!$C$42,Assumptions!$C$43)</f>
        <v>30200</v>
      </c>
      <c r="AC10" s="21" t="n">
        <f aca="false">K10*INDEX(Assumptions!$C$37:$C$38,MATCH(Q10,Assumptions!$B$37:$B$38,0))</f>
        <v>20000</v>
      </c>
      <c r="AD10" s="21" t="n">
        <f aca="false">K10-AB10-W10*12</f>
        <v>-6764.69216404582</v>
      </c>
      <c r="AE10" s="21" t="n">
        <f aca="false">AD10-AC10</f>
        <v>-26764.6921640458</v>
      </c>
      <c r="AF10" s="23" t="n">
        <f aca="false">IFERROR(K10/H10,0)</f>
        <v>0.125</v>
      </c>
      <c r="AG10" s="23" t="n">
        <f aca="false">IFERROR((K10-AB10-AC10)/H10,0)</f>
        <v>0.06225</v>
      </c>
      <c r="AH10" s="26" t="s">
        <v>383</v>
      </c>
      <c r="AI10" s="13"/>
      <c r="AJ10" s="26" t="s">
        <v>384</v>
      </c>
      <c r="AK10" s="33" t="s">
        <v>148</v>
      </c>
    </row>
    <row r="11" customFormat="false" ht="35.05" hidden="false" customHeight="false" outlineLevel="0" collapsed="false">
      <c r="A11" s="34" t="n">
        <v>6</v>
      </c>
      <c r="B11" s="35" t="s">
        <v>385</v>
      </c>
      <c r="C11" s="35" t="s">
        <v>366</v>
      </c>
      <c r="D11" s="36" t="s">
        <v>91</v>
      </c>
      <c r="E11" s="35" t="s">
        <v>203</v>
      </c>
      <c r="F11" s="35" t="s">
        <v>386</v>
      </c>
      <c r="G11" s="37" t="n">
        <v>555000</v>
      </c>
      <c r="H11" s="37" t="n">
        <v>535000</v>
      </c>
      <c r="I11" s="38" t="n">
        <v>0</v>
      </c>
      <c r="J11" s="39" t="n">
        <f aca="false">Assumptions!$C$15</f>
        <v>0.25</v>
      </c>
      <c r="K11" s="37" t="n">
        <v>38000</v>
      </c>
      <c r="L11" s="35" t="s">
        <v>387</v>
      </c>
      <c r="M11" s="36" t="s">
        <v>71</v>
      </c>
      <c r="N11" s="36" t="s">
        <v>154</v>
      </c>
      <c r="O11" s="37" t="n">
        <v>1448</v>
      </c>
      <c r="P11" s="37" t="n">
        <v>3000</v>
      </c>
      <c r="Q11" s="36" t="s">
        <v>100</v>
      </c>
      <c r="R11" s="40" t="n">
        <f aca="false">H11*(1-J11)</f>
        <v>401250</v>
      </c>
      <c r="S11" s="41" t="n">
        <f aca="false">IF((1-J11)&gt;0.75,Assumptions!$C$11,IF((1-J11)&gt;0.7,Assumptions!$C$12,Assumptions!$C$13))</f>
        <v>0.0725</v>
      </c>
      <c r="T11" s="40" t="n">
        <f aca="false">PMT(S11/12,Assumptions!$C$14,-R11)</f>
        <v>2737.23232372547</v>
      </c>
      <c r="U11" s="40" t="n">
        <f aca="false">H11*INDEX(Assumptions!$C$28:$C$34,MATCH(D11,Assumptions!$B$28:$B$34,0))/12</f>
        <v>423.541666666667</v>
      </c>
      <c r="V11" s="40" t="n">
        <f aca="false">IF(ISNUMBER(P11),P11,INDEX(Assumptions!$D$28:$D$34,MATCH(D11,Assumptions!$B$28:$B$34,0))+INDEX(Assumptions!$C$22:$C$25,MATCH(M11,Assumptions!$B$22:$B$25,0)))/12</f>
        <v>250</v>
      </c>
      <c r="W11" s="40" t="n">
        <f aca="false">T11+U11+V11+O11</f>
        <v>4858.77399039214</v>
      </c>
      <c r="X11" s="42" t="n">
        <f aca="false">IFERROR(K11/12/W11,0)</f>
        <v>0.651741915332657</v>
      </c>
      <c r="Y11" s="42" t="n">
        <f aca="false">IFERROR(K11*Assumptions!$C$18/12/W11,0)</f>
        <v>0.521393532266126</v>
      </c>
      <c r="Z11" s="40" t="n">
        <f aca="false">H11*J11+H11*(Assumptions!$C$16-I11)</f>
        <v>155150</v>
      </c>
      <c r="AA11" s="40" t="n">
        <f aca="false">W11*Assumptions!$C$17</f>
        <v>29152.6439423528</v>
      </c>
      <c r="AB11" s="40" t="n">
        <f aca="false">K11*INDEX(Assumptions!$H$37:$H$38,MATCH(Q11,Assumptions!$B$37:$B$38,0))+Assumptions!$C$41+IF(N11="Y",Assumptions!$C$42,Assumptions!$C$43)</f>
        <v>15940</v>
      </c>
      <c r="AC11" s="40" t="n">
        <f aca="false">K11*INDEX(Assumptions!$C$37:$C$38,MATCH(Q11,Assumptions!$B$37:$B$38,0))</f>
        <v>7600</v>
      </c>
      <c r="AD11" s="40" t="n">
        <f aca="false">K11-AB11-W11*12</f>
        <v>-36245.2878847056</v>
      </c>
      <c r="AE11" s="40" t="n">
        <f aca="false">AD11-AC11</f>
        <v>-43845.2878847056</v>
      </c>
      <c r="AF11" s="43" t="n">
        <f aca="false">IFERROR(K11/H11,0)</f>
        <v>0.0710280373831776</v>
      </c>
      <c r="AG11" s="43" t="n">
        <f aca="false">IFERROR((K11-AB11-AC11)/H11,0)</f>
        <v>0.0270280373831776</v>
      </c>
      <c r="AH11" s="35"/>
      <c r="AI11" s="34" t="n">
        <v>68</v>
      </c>
      <c r="AJ11" s="35" t="s">
        <v>388</v>
      </c>
      <c r="AK11" s="44" t="s">
        <v>148</v>
      </c>
    </row>
    <row r="14" customFormat="false" ht="15" hidden="false" customHeight="false" outlineLevel="0" collapsed="false">
      <c r="A14" s="10" t="s">
        <v>389</v>
      </c>
    </row>
    <row r="15" customFormat="false" ht="15" hidden="false" customHeight="false" outlineLevel="0" collapsed="false">
      <c r="B15" s="3" t="s">
        <v>3</v>
      </c>
      <c r="C15" s="3" t="s">
        <v>4</v>
      </c>
      <c r="G15" s="3" t="s">
        <v>214</v>
      </c>
      <c r="L15" s="3" t="s">
        <v>215</v>
      </c>
      <c r="AJ15" s="3" t="s">
        <v>216</v>
      </c>
      <c r="AK15" s="3" t="s">
        <v>217</v>
      </c>
    </row>
    <row r="16" customFormat="false" ht="23.85" hidden="false" customHeight="false" outlineLevel="0" collapsed="false">
      <c r="B16" s="26" t="s">
        <v>390</v>
      </c>
      <c r="C16" s="26" t="s">
        <v>361</v>
      </c>
      <c r="G16" s="19" t="n">
        <v>750000</v>
      </c>
      <c r="L16" s="26" t="s">
        <v>391</v>
      </c>
      <c r="AJ16" s="26" t="s">
        <v>220</v>
      </c>
      <c r="AK16" s="33" t="s">
        <v>392</v>
      </c>
    </row>
    <row r="17" customFormat="false" ht="35.05" hidden="false" customHeight="false" outlineLevel="0" collapsed="false">
      <c r="B17" s="26" t="s">
        <v>393</v>
      </c>
      <c r="C17" s="26" t="s">
        <v>361</v>
      </c>
      <c r="G17" s="19" t="n">
        <v>599888</v>
      </c>
      <c r="L17" s="26" t="s">
        <v>394</v>
      </c>
      <c r="AJ17" s="26" t="s">
        <v>220</v>
      </c>
      <c r="AK17" s="33" t="s">
        <v>392</v>
      </c>
    </row>
    <row r="18" customFormat="false" ht="23.85" hidden="false" customHeight="false" outlineLevel="0" collapsed="false">
      <c r="B18" s="26" t="s">
        <v>395</v>
      </c>
      <c r="C18" s="26" t="s">
        <v>366</v>
      </c>
      <c r="G18" s="19" t="n">
        <v>524900</v>
      </c>
      <c r="L18" s="26" t="s">
        <v>396</v>
      </c>
      <c r="AJ18" s="26" t="s">
        <v>220</v>
      </c>
      <c r="AK18" s="33" t="s">
        <v>392</v>
      </c>
    </row>
    <row r="19" customFormat="false" ht="35.05" hidden="false" customHeight="false" outlineLevel="0" collapsed="false">
      <c r="B19" s="26" t="s">
        <v>397</v>
      </c>
      <c r="C19" s="26" t="s">
        <v>380</v>
      </c>
      <c r="G19" s="19" t="n">
        <v>699000</v>
      </c>
      <c r="L19" s="26" t="s">
        <v>398</v>
      </c>
      <c r="AJ19" s="26" t="s">
        <v>220</v>
      </c>
      <c r="AK19" s="33" t="s">
        <v>392</v>
      </c>
    </row>
    <row r="20" customFormat="false" ht="35.05" hidden="false" customHeight="false" outlineLevel="0" collapsed="false">
      <c r="B20" s="26" t="s">
        <v>399</v>
      </c>
      <c r="C20" s="26" t="s">
        <v>400</v>
      </c>
      <c r="G20" s="19" t="n">
        <v>499000</v>
      </c>
      <c r="L20" s="26" t="s">
        <v>401</v>
      </c>
      <c r="AJ20" s="26" t="s">
        <v>220</v>
      </c>
      <c r="AK20" s="33" t="s">
        <v>392</v>
      </c>
    </row>
    <row r="21" customFormat="false" ht="35.05" hidden="false" customHeight="false" outlineLevel="0" collapsed="false">
      <c r="B21" s="26" t="s">
        <v>402</v>
      </c>
      <c r="C21" s="26" t="s">
        <v>403</v>
      </c>
      <c r="G21" s="19" t="n">
        <v>868000</v>
      </c>
      <c r="L21" s="26" t="s">
        <v>404</v>
      </c>
      <c r="AJ21" s="26" t="s">
        <v>220</v>
      </c>
      <c r="AK21" s="33" t="s">
        <v>392</v>
      </c>
    </row>
    <row r="22" customFormat="false" ht="35.05" hidden="false" customHeight="false" outlineLevel="0" collapsed="false">
      <c r="B22" s="26" t="s">
        <v>405</v>
      </c>
      <c r="C22" s="26" t="s">
        <v>406</v>
      </c>
      <c r="G22" s="19" t="n">
        <v>1049000</v>
      </c>
      <c r="L22" s="26" t="s">
        <v>407</v>
      </c>
      <c r="AJ22" s="26" t="s">
        <v>220</v>
      </c>
      <c r="AK22" s="33" t="s">
        <v>392</v>
      </c>
    </row>
    <row r="23" customFormat="false" ht="35.05" hidden="false" customHeight="false" outlineLevel="0" collapsed="false">
      <c r="B23" s="26" t="s">
        <v>408</v>
      </c>
      <c r="C23" s="26" t="s">
        <v>361</v>
      </c>
      <c r="G23" s="19" t="n">
        <v>955000</v>
      </c>
      <c r="L23" s="26" t="s">
        <v>409</v>
      </c>
      <c r="AJ23" s="26" t="s">
        <v>220</v>
      </c>
      <c r="AK23" s="33" t="s">
        <v>392</v>
      </c>
    </row>
  </sheetData>
  <dataValidations count="3">
    <dataValidation allowBlank="false" errorStyle="stop" operator="between" showDropDown="false" showErrorMessage="false" showInputMessage="false" sqref="M6:M11" type="list">
      <formula1>Assumptions!$B$22:$B$25</formula1>
      <formula2>0</formula2>
    </dataValidation>
    <dataValidation allowBlank="false" errorStyle="stop" operator="between" showDropDown="false" showErrorMessage="false" showInputMessage="false" sqref="Q6:Q11" type="list">
      <formula1>"STR,Seasonal"</formula1>
      <formula2>0</formula2>
    </dataValidation>
    <dataValidation allowBlank="false" errorStyle="stop" operator="between" showDropDown="false" showErrorMessage="false" showInputMessage="false" sqref="N6:N11" type="list">
      <formula1>"Y,N"</formula1>
      <formula2>0</formula2>
    </dataValidation>
  </dataValidations>
  <hyperlinks>
    <hyperlink ref="AK6" r:id="rId2" display="Zillow"/>
    <hyperlink ref="AK7" r:id="rId3" display="Zillow"/>
    <hyperlink ref="AK8" r:id="rId4" display="Zillow"/>
    <hyperlink ref="AK9" r:id="rId5" display="Zillow"/>
    <hyperlink ref="AK10" r:id="rId6" display="Zillow"/>
    <hyperlink ref="AK11" r:id="rId7" display="Zillow"/>
    <hyperlink ref="AK16" r:id="rId8" display="Listing"/>
    <hyperlink ref="AK17" r:id="rId9" display="Listing"/>
    <hyperlink ref="AK18" r:id="rId10" display="Listing"/>
    <hyperlink ref="AK19" r:id="rId11" display="Listing"/>
    <hyperlink ref="AK20" r:id="rId12" display="Listing"/>
    <hyperlink ref="AK21" r:id="rId13" display="Listing"/>
    <hyperlink ref="AK22" r:id="rId14" display="Listing"/>
    <hyperlink ref="AK23" r:id="rId15" display="List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11" min="10" style="0" width="9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10"/>
    <col collapsed="false" customWidth="true" hidden="false" outlineLevel="0" max="16" min="16" style="0" width="15"/>
  </cols>
  <sheetData>
    <row r="1" customFormat="false" ht="17.35" hidden="false" customHeight="false" outlineLevel="0" collapsed="false">
      <c r="A1" s="1" t="s">
        <v>410</v>
      </c>
    </row>
    <row r="2" customFormat="false" ht="15" hidden="false" customHeight="false" outlineLevel="0" collapsed="false">
      <c r="A2" s="2" t="s">
        <v>411</v>
      </c>
    </row>
    <row r="4" customFormat="false" ht="42" hidden="false" customHeight="true" outlineLevel="0" collapsed="false">
      <c r="A4" s="3" t="s">
        <v>412</v>
      </c>
      <c r="B4" s="3" t="s">
        <v>413</v>
      </c>
      <c r="C4" s="3" t="s">
        <v>5</v>
      </c>
      <c r="D4" s="3" t="s">
        <v>117</v>
      </c>
      <c r="E4" s="3" t="s">
        <v>414</v>
      </c>
      <c r="F4" s="3" t="s">
        <v>415</v>
      </c>
      <c r="G4" s="3" t="s">
        <v>127</v>
      </c>
      <c r="H4" s="3" t="s">
        <v>128</v>
      </c>
      <c r="I4" s="3" t="s">
        <v>7</v>
      </c>
      <c r="J4" s="3" t="s">
        <v>8</v>
      </c>
      <c r="K4" s="3" t="s">
        <v>416</v>
      </c>
      <c r="L4" s="3" t="s">
        <v>417</v>
      </c>
      <c r="M4" s="3" t="s">
        <v>11</v>
      </c>
      <c r="N4" s="3" t="s">
        <v>12</v>
      </c>
      <c r="O4" s="3" t="s">
        <v>418</v>
      </c>
      <c r="P4" s="3" t="s">
        <v>419</v>
      </c>
    </row>
    <row r="5" customFormat="false" ht="15" hidden="false" customHeight="false" outlineLevel="0" collapsed="false">
      <c r="A5" s="45" t="str">
        <f aca="false">'Manatee-Sarasota'!$B$6</f>
        <v>8404 43rd Ave Terrace W</v>
      </c>
      <c r="B5" s="17" t="n">
        <v>0.2</v>
      </c>
      <c r="C5" s="46" t="n">
        <f aca="false">'Manatee-Sarasota'!$H$6</f>
        <v>560000</v>
      </c>
      <c r="D5" s="28" t="n">
        <f aca="false">'Manatee-Sarasota'!$I$6</f>
        <v>0.03</v>
      </c>
      <c r="E5" s="46" t="n">
        <f aca="false">'Manatee-Sarasota'!$K$6</f>
        <v>85000</v>
      </c>
      <c r="F5" s="21" t="n">
        <f aca="false">C5*(1-B5)</f>
        <v>448000</v>
      </c>
      <c r="G5" s="29" t="n">
        <f aca="false">IF((1-B5)&gt;0.75,Assumptions!$C$11,IF((1-B5)&gt;0.7,Assumptions!$C$12,Assumptions!$C$13))</f>
        <v>0.075</v>
      </c>
      <c r="H5" s="21" t="n">
        <f aca="false">PMT(G5/12,Assumptions!$C$14,-F5)</f>
        <v>3132.48099831645</v>
      </c>
      <c r="I5" s="21" t="n">
        <f aca="false">H5+C5*INDEX(Assumptions!$C$28:$C$34,MATCH('Manatee-Sarasota'!$D$6,Assumptions!$B$28:$B$34,0))/12+IF(ISNUMBER('Manatee-Sarasota'!$P$6),'Manatee-Sarasota'!$P$6,INDEX(Assumptions!$D$28:$D$34,MATCH('Manatee-Sarasota'!$D$6,Assumptions!$B$28:$B$34,0))+INDEX(Assumptions!$C$22:$C$25,MATCH('Manatee-Sarasota'!$M$6,Assumptions!$B$22:$B$25,0)))/12+'Manatee-Sarasota'!$O$6</f>
        <v>4582.48099831645</v>
      </c>
      <c r="J5" s="30" t="n">
        <f aca="false">IFERROR(E5/12/I5,0)</f>
        <v>1.54574199782512</v>
      </c>
      <c r="K5" s="30" t="n">
        <f aca="false">IFERROR(E5*Assumptions!$C$18/12/I5,0)</f>
        <v>1.2365935982601</v>
      </c>
      <c r="L5" s="21" t="n">
        <f aca="false">C5*B5+C5*(Assumptions!$C$16-D5)</f>
        <v>117600</v>
      </c>
      <c r="M5" s="21" t="n">
        <f aca="false">E5-(E5*INDEX(Assumptions!$H$37:$H$38,MATCH('Manatee-Sarasota'!$Q$6,Assumptions!$B$37:$B$38,0))+Assumptions!$C$41+IF('Manatee-Sarasota'!$N$6="Y",Assumptions!$C$42,Assumptions!$C$43))-I5*12</f>
        <v>1460.22802020259</v>
      </c>
      <c r="N5" s="21" t="n">
        <f aca="false">M5-E5*INDEX(Assumptions!$C$37:$C$38,MATCH('Manatee-Sarasota'!$Q$6,Assumptions!$B$37:$B$38,0))</f>
        <v>-15539.7719797974</v>
      </c>
      <c r="O5" s="23" t="n">
        <f aca="false">IFERROR(M5/L5,0)</f>
        <v>0.0124169049336955</v>
      </c>
      <c r="P5" s="47" t="s">
        <v>420</v>
      </c>
    </row>
    <row r="6" customFormat="false" ht="15" hidden="false" customHeight="false" outlineLevel="0" collapsed="false">
      <c r="A6" s="45" t="str">
        <f aca="false">'Manatee-Sarasota'!$B$6</f>
        <v>8404 43rd Ave Terrace W</v>
      </c>
      <c r="B6" s="17" t="n">
        <v>0.25</v>
      </c>
      <c r="C6" s="46" t="n">
        <f aca="false">'Manatee-Sarasota'!$H$6</f>
        <v>560000</v>
      </c>
      <c r="D6" s="28" t="n">
        <f aca="false">'Manatee-Sarasota'!$I$6</f>
        <v>0.03</v>
      </c>
      <c r="E6" s="46" t="n">
        <f aca="false">'Manatee-Sarasota'!$K$6</f>
        <v>85000</v>
      </c>
      <c r="F6" s="21" t="n">
        <f aca="false">C6*(1-B6)</f>
        <v>420000</v>
      </c>
      <c r="G6" s="29" t="n">
        <f aca="false">IF((1-B6)&gt;0.75,Assumptions!$C$11,IF((1-B6)&gt;0.7,Assumptions!$C$12,Assumptions!$C$13))</f>
        <v>0.0725</v>
      </c>
      <c r="H6" s="21" t="n">
        <f aca="false">PMT(G6/12,Assumptions!$C$14,-F6)</f>
        <v>2865.14037623601</v>
      </c>
      <c r="I6" s="21" t="n">
        <f aca="false">H6+C6*INDEX(Assumptions!$C$28:$C$34,MATCH('Manatee-Sarasota'!$D$6,Assumptions!$B$28:$B$34,0))/12+IF(ISNUMBER('Manatee-Sarasota'!$P$6),'Manatee-Sarasota'!$P$6,INDEX(Assumptions!$D$28:$D$34,MATCH('Manatee-Sarasota'!$D$6,Assumptions!$B$28:$B$34,0))+INDEX(Assumptions!$C$22:$C$25,MATCH('Manatee-Sarasota'!$M$6,Assumptions!$B$22:$B$25,0)))/12+'Manatee-Sarasota'!$O$6</f>
        <v>4315.14037623601</v>
      </c>
      <c r="J6" s="30" t="n">
        <f aca="false">IFERROR(E6/12/I6,0)</f>
        <v>1.64150704629265</v>
      </c>
      <c r="K6" s="30" t="n">
        <f aca="false">IFERROR(E6*Assumptions!$C$18/12/I6,0)</f>
        <v>1.31320563703412</v>
      </c>
      <c r="L6" s="21" t="n">
        <f aca="false">C6*B6+C6*(Assumptions!$C$16-D6)</f>
        <v>145600</v>
      </c>
      <c r="M6" s="21" t="n">
        <f aca="false">E6-(E6*INDEX(Assumptions!$H$37:$H$38,MATCH('Manatee-Sarasota'!$Q$6,Assumptions!$B$37:$B$38,0))+Assumptions!$C$41+IF('Manatee-Sarasota'!$N$6="Y",Assumptions!$C$42,Assumptions!$C$43))-I6*12</f>
        <v>4668.31548516793</v>
      </c>
      <c r="N6" s="21" t="n">
        <f aca="false">M6-E6*INDEX(Assumptions!$C$37:$C$38,MATCH('Manatee-Sarasota'!$Q$6,Assumptions!$B$37:$B$38,0))</f>
        <v>-12331.6845148321</v>
      </c>
      <c r="O6" s="23" t="n">
        <f aca="false">IFERROR(M6/L6,0)</f>
        <v>0.0320626063541753</v>
      </c>
      <c r="P6" s="23" t="n">
        <f aca="false">IFERROR((M6-M5)/(L6-L5),0)</f>
        <v>0.114574552320191</v>
      </c>
    </row>
    <row r="7" customFormat="false" ht="15" hidden="false" customHeight="false" outlineLevel="0" collapsed="false">
      <c r="A7" s="45" t="str">
        <f aca="false">'Manatee-Sarasota'!$B$6</f>
        <v>8404 43rd Ave Terrace W</v>
      </c>
      <c r="B7" s="17" t="n">
        <v>0.3</v>
      </c>
      <c r="C7" s="46" t="n">
        <f aca="false">'Manatee-Sarasota'!$H$6</f>
        <v>560000</v>
      </c>
      <c r="D7" s="28" t="n">
        <f aca="false">'Manatee-Sarasota'!$I$6</f>
        <v>0.03</v>
      </c>
      <c r="E7" s="46" t="n">
        <f aca="false">'Manatee-Sarasota'!$K$6</f>
        <v>85000</v>
      </c>
      <c r="F7" s="21" t="n">
        <f aca="false">C7*(1-B7)</f>
        <v>392000</v>
      </c>
      <c r="G7" s="29" t="n">
        <f aca="false">IF((1-B7)&gt;0.75,Assumptions!$C$11,IF((1-B7)&gt;0.7,Assumptions!$C$12,Assumptions!$C$13))</f>
        <v>0.07125</v>
      </c>
      <c r="H7" s="21" t="n">
        <f aca="false">PMT(G7/12,Assumptions!$C$14,-F7)</f>
        <v>2640.97661134044</v>
      </c>
      <c r="I7" s="21" t="n">
        <f aca="false">H7+C7*INDEX(Assumptions!$C$28:$C$34,MATCH('Manatee-Sarasota'!$D$6,Assumptions!$B$28:$B$34,0))/12+IF(ISNUMBER('Manatee-Sarasota'!$P$6),'Manatee-Sarasota'!$P$6,INDEX(Assumptions!$D$28:$D$34,MATCH('Manatee-Sarasota'!$D$6,Assumptions!$B$28:$B$34,0))+INDEX(Assumptions!$C$22:$C$25,MATCH('Manatee-Sarasota'!$M$6,Assumptions!$B$22:$B$25,0)))/12+'Manatee-Sarasota'!$O$6</f>
        <v>4090.97661134044</v>
      </c>
      <c r="J7" s="30" t="n">
        <f aca="false">IFERROR(E7/12/I7,0)</f>
        <v>1.73145290386112</v>
      </c>
      <c r="K7" s="30" t="n">
        <f aca="false">IFERROR(E7*Assumptions!$C$18/12/I7,0)</f>
        <v>1.3851623230889</v>
      </c>
      <c r="L7" s="21" t="n">
        <f aca="false">C7*B7+C7*(Assumptions!$C$16-D7)</f>
        <v>173600</v>
      </c>
      <c r="M7" s="21" t="n">
        <f aca="false">E7-(E7*INDEX(Assumptions!$H$37:$H$38,MATCH('Manatee-Sarasota'!$Q$6,Assumptions!$B$37:$B$38,0))+Assumptions!$C$41+IF('Manatee-Sarasota'!$N$6="Y",Assumptions!$C$42,Assumptions!$C$43))-I7*12</f>
        <v>7358.28066391467</v>
      </c>
      <c r="N7" s="21" t="n">
        <f aca="false">M7-E7*INDEX(Assumptions!$C$37:$C$38,MATCH('Manatee-Sarasota'!$Q$6,Assumptions!$B$37:$B$38,0))</f>
        <v>-9641.71933608533</v>
      </c>
      <c r="O7" s="23" t="n">
        <f aca="false">IFERROR(M7/L7,0)</f>
        <v>0.0423864093543472</v>
      </c>
      <c r="P7" s="23" t="n">
        <f aca="false">IFERROR((M7-M6)/(L7-L6),0)</f>
        <v>0.0960701849552406</v>
      </c>
    </row>
    <row r="9" customFormat="false" ht="15" hidden="false" customHeight="false" outlineLevel="0" collapsed="false">
      <c r="A9" s="45" t="str">
        <f aca="false">'Manatee-Sarasota'!$B$7</f>
        <v>5318 17th St W (duplex)</v>
      </c>
      <c r="B9" s="17" t="n">
        <v>0.2</v>
      </c>
      <c r="C9" s="46" t="n">
        <f aca="false">'Manatee-Sarasota'!$H$7</f>
        <v>460000</v>
      </c>
      <c r="D9" s="28" t="n">
        <f aca="false">'Manatee-Sarasota'!$I$7</f>
        <v>0</v>
      </c>
      <c r="E9" s="46" t="n">
        <f aca="false">'Manatee-Sarasota'!$K$7</f>
        <v>73000</v>
      </c>
      <c r="F9" s="21" t="n">
        <f aca="false">C9*(1-B9)</f>
        <v>368000</v>
      </c>
      <c r="G9" s="29" t="n">
        <f aca="false">IF((1-B9)&gt;0.75,Assumptions!$C$11,IF((1-B9)&gt;0.7,Assumptions!$C$12,Assumptions!$C$13))</f>
        <v>0.075</v>
      </c>
      <c r="H9" s="21" t="n">
        <f aca="false">PMT(G9/12,Assumptions!$C$14,-F9)</f>
        <v>2573.10939147423</v>
      </c>
      <c r="I9" s="21" t="n">
        <f aca="false">H9+C9*INDEX(Assumptions!$C$28:$C$34,MATCH('Manatee-Sarasota'!$D$7,Assumptions!$B$28:$B$34,0))/12+IF(ISNUMBER('Manatee-Sarasota'!$P$7),'Manatee-Sarasota'!$P$7,INDEX(Assumptions!$D$28:$D$34,MATCH('Manatee-Sarasota'!$D$7,Assumptions!$B$28:$B$34,0))+INDEX(Assumptions!$C$22:$C$25,MATCH('Manatee-Sarasota'!$M$7,Assumptions!$B$22:$B$25,0)))/12+'Manatee-Sarasota'!$O$7</f>
        <v>3898.10939147423</v>
      </c>
      <c r="J9" s="30" t="n">
        <f aca="false">IFERROR(E9/12/I9,0)</f>
        <v>1.56058558711526</v>
      </c>
      <c r="K9" s="30" t="n">
        <f aca="false">IFERROR(E9*Assumptions!$C$18/12/I9,0)</f>
        <v>1.24846846969221</v>
      </c>
      <c r="L9" s="21" t="n">
        <f aca="false">C9*B9+C9*(Assumptions!$C$16-D9)</f>
        <v>110400</v>
      </c>
      <c r="M9" s="21" t="n">
        <f aca="false">E9-(E9*INDEX(Assumptions!$H$37:$H$38,MATCH('Manatee-Sarasota'!$Q$7,Assumptions!$B$37:$B$38,0))+Assumptions!$C$41+IF('Manatee-Sarasota'!$N$7="Y",Assumptions!$C$42,Assumptions!$C$43))-I9*12</f>
        <v>2232.68730230926</v>
      </c>
      <c r="N9" s="21" t="n">
        <f aca="false">M9-E9*INDEX(Assumptions!$C$37:$C$38,MATCH('Manatee-Sarasota'!$Q$7,Assumptions!$B$37:$B$38,0))</f>
        <v>-12367.3126976907</v>
      </c>
      <c r="O9" s="23" t="n">
        <f aca="false">IFERROR(M9/L9,0)</f>
        <v>0.0202236168687433</v>
      </c>
      <c r="P9" s="47" t="s">
        <v>420</v>
      </c>
    </row>
    <row r="10" customFormat="false" ht="15" hidden="false" customHeight="false" outlineLevel="0" collapsed="false">
      <c r="A10" s="45" t="str">
        <f aca="false">'Manatee-Sarasota'!$B$7</f>
        <v>5318 17th St W (duplex)</v>
      </c>
      <c r="B10" s="17" t="n">
        <v>0.25</v>
      </c>
      <c r="C10" s="46" t="n">
        <f aca="false">'Manatee-Sarasota'!$H$7</f>
        <v>460000</v>
      </c>
      <c r="D10" s="28" t="n">
        <f aca="false">'Manatee-Sarasota'!$I$7</f>
        <v>0</v>
      </c>
      <c r="E10" s="46" t="n">
        <f aca="false">'Manatee-Sarasota'!$K$7</f>
        <v>73000</v>
      </c>
      <c r="F10" s="21" t="n">
        <f aca="false">C10*(1-B10)</f>
        <v>345000</v>
      </c>
      <c r="G10" s="29" t="n">
        <f aca="false">IF((1-B10)&gt;0.75,Assumptions!$C$11,IF((1-B10)&gt;0.7,Assumptions!$C$12,Assumptions!$C$13))</f>
        <v>0.0725</v>
      </c>
      <c r="H10" s="21" t="n">
        <f aca="false">PMT(G10/12,Assumptions!$C$14,-F10)</f>
        <v>2353.50816619386</v>
      </c>
      <c r="I10" s="21" t="n">
        <f aca="false">H10+C10*INDEX(Assumptions!$C$28:$C$34,MATCH('Manatee-Sarasota'!$D$7,Assumptions!$B$28:$B$34,0))/12+IF(ISNUMBER('Manatee-Sarasota'!$P$7),'Manatee-Sarasota'!$P$7,INDEX(Assumptions!$D$28:$D$34,MATCH('Manatee-Sarasota'!$D$7,Assumptions!$B$28:$B$34,0))+INDEX(Assumptions!$C$22:$C$25,MATCH('Manatee-Sarasota'!$M$7,Assumptions!$B$22:$B$25,0)))/12+'Manatee-Sarasota'!$O$7</f>
        <v>3678.50816619386</v>
      </c>
      <c r="J10" s="30" t="n">
        <f aca="false">IFERROR(E10/12/I10,0)</f>
        <v>1.65375012328102</v>
      </c>
      <c r="K10" s="30" t="n">
        <f aca="false">IFERROR(E10*Assumptions!$C$18/12/I10,0)</f>
        <v>1.32300009862482</v>
      </c>
      <c r="L10" s="21" t="n">
        <f aca="false">C10*B10+C10*(Assumptions!$C$16-D10)</f>
        <v>133400</v>
      </c>
      <c r="M10" s="21" t="n">
        <f aca="false">E10-(E10*INDEX(Assumptions!$H$37:$H$38,MATCH('Manatee-Sarasota'!$Q$7,Assumptions!$B$37:$B$38,0))+Assumptions!$C$41+IF('Manatee-Sarasota'!$N$7="Y",Assumptions!$C$42,Assumptions!$C$43))-I10*12</f>
        <v>4867.90200567366</v>
      </c>
      <c r="N10" s="21" t="n">
        <f aca="false">M10-E10*INDEX(Assumptions!$C$37:$C$38,MATCH('Manatee-Sarasota'!$Q$7,Assumptions!$B$37:$B$38,0))</f>
        <v>-9732.09799432635</v>
      </c>
      <c r="O10" s="23" t="n">
        <f aca="false">IFERROR(M10/L10,0)</f>
        <v>0.036491019532786</v>
      </c>
      <c r="P10" s="23" t="n">
        <f aca="false">IFERROR((M10-M9)/(L10-L9),0)</f>
        <v>0.114574552320191</v>
      </c>
    </row>
    <row r="11" customFormat="false" ht="15" hidden="false" customHeight="false" outlineLevel="0" collapsed="false">
      <c r="A11" s="45" t="str">
        <f aca="false">'Manatee-Sarasota'!$B$7</f>
        <v>5318 17th St W (duplex)</v>
      </c>
      <c r="B11" s="17" t="n">
        <v>0.3</v>
      </c>
      <c r="C11" s="46" t="n">
        <f aca="false">'Manatee-Sarasota'!$H$7</f>
        <v>460000</v>
      </c>
      <c r="D11" s="28" t="n">
        <f aca="false">'Manatee-Sarasota'!$I$7</f>
        <v>0</v>
      </c>
      <c r="E11" s="46" t="n">
        <f aca="false">'Manatee-Sarasota'!$K$7</f>
        <v>73000</v>
      </c>
      <c r="F11" s="21" t="n">
        <f aca="false">C11*(1-B11)</f>
        <v>322000</v>
      </c>
      <c r="G11" s="29" t="n">
        <f aca="false">IF((1-B11)&gt;0.75,Assumptions!$C$11,IF((1-B11)&gt;0.7,Assumptions!$C$12,Assumptions!$C$13))</f>
        <v>0.07125</v>
      </c>
      <c r="H11" s="21" t="n">
        <f aca="false">PMT(G11/12,Assumptions!$C$14,-F11)</f>
        <v>2169.37364502965</v>
      </c>
      <c r="I11" s="21" t="n">
        <f aca="false">H11+C11*INDEX(Assumptions!$C$28:$C$34,MATCH('Manatee-Sarasota'!$D$7,Assumptions!$B$28:$B$34,0))/12+IF(ISNUMBER('Manatee-Sarasota'!$P$7),'Manatee-Sarasota'!$P$7,INDEX(Assumptions!$D$28:$D$34,MATCH('Manatee-Sarasota'!$D$7,Assumptions!$B$28:$B$34,0))+INDEX(Assumptions!$C$22:$C$25,MATCH('Manatee-Sarasota'!$M$7,Assumptions!$B$22:$B$25,0)))/12+'Manatee-Sarasota'!$O$7</f>
        <v>3494.37364502965</v>
      </c>
      <c r="J11" s="30" t="n">
        <f aca="false">IFERROR(E11/12/I11,0)</f>
        <v>1.74089377705392</v>
      </c>
      <c r="K11" s="30" t="n">
        <f aca="false">IFERROR(E11*Assumptions!$C$18/12/I11,0)</f>
        <v>1.39271502164313</v>
      </c>
      <c r="L11" s="21" t="n">
        <f aca="false">C11*B11+C11*(Assumptions!$C$16-D11)</f>
        <v>156400</v>
      </c>
      <c r="M11" s="21" t="n">
        <f aca="false">E11-(E11*INDEX(Assumptions!$H$37:$H$38,MATCH('Manatee-Sarasota'!$Q$7,Assumptions!$B$37:$B$38,0))+Assumptions!$C$41+IF('Manatee-Sarasota'!$N$7="Y",Assumptions!$C$42,Assumptions!$C$43))-I11*12</f>
        <v>7077.51625964419</v>
      </c>
      <c r="N11" s="21" t="n">
        <f aca="false">M11-E11*INDEX(Assumptions!$C$37:$C$38,MATCH('Manatee-Sarasota'!$Q$7,Assumptions!$B$37:$B$38,0))</f>
        <v>-7522.48374035581</v>
      </c>
      <c r="O11" s="23" t="n">
        <f aca="false">IFERROR(M11/L11,0)</f>
        <v>0.0452526615066764</v>
      </c>
      <c r="P11" s="23" t="n">
        <f aca="false">IFERROR((M11-M10)/(L11-L10),0)</f>
        <v>0.0960701849552405</v>
      </c>
    </row>
    <row r="13" customFormat="false" ht="15" hidden="false" customHeight="false" outlineLevel="0" collapsed="false">
      <c r="A13" s="45" t="str">
        <f aca="false">'Manatee-Sarasota'!$B$8</f>
        <v>2801 23rd Ave W ("Beachin' Escape")</v>
      </c>
      <c r="B13" s="17" t="n">
        <v>0.2</v>
      </c>
      <c r="C13" s="46" t="n">
        <f aca="false">'Manatee-Sarasota'!$H$8</f>
        <v>600000</v>
      </c>
      <c r="D13" s="28" t="n">
        <f aca="false">'Manatee-Sarasota'!$I$8</f>
        <v>0.03</v>
      </c>
      <c r="E13" s="46" t="n">
        <f aca="false">'Manatee-Sarasota'!$K$8</f>
        <v>89000</v>
      </c>
      <c r="F13" s="21" t="n">
        <f aca="false">C13*(1-B13)</f>
        <v>480000</v>
      </c>
      <c r="G13" s="29" t="n">
        <f aca="false">IF((1-B13)&gt;0.75,Assumptions!$C$11,IF((1-B13)&gt;0.7,Assumptions!$C$12,Assumptions!$C$13))</f>
        <v>0.075</v>
      </c>
      <c r="H13" s="21" t="n">
        <f aca="false">PMT(G13/12,Assumptions!$C$14,-F13)</f>
        <v>3356.22964105334</v>
      </c>
      <c r="I13" s="21" t="n">
        <f aca="false">H13+C13*INDEX(Assumptions!$C$28:$C$34,MATCH('Manatee-Sarasota'!$D$8,Assumptions!$B$28:$B$34,0))/12+IF(ISNUMBER('Manatee-Sarasota'!$P$8),'Manatee-Sarasota'!$P$8,INDEX(Assumptions!$D$28:$D$34,MATCH('Manatee-Sarasota'!$D$8,Assumptions!$B$28:$B$34,0))+INDEX(Assumptions!$C$22:$C$25,MATCH('Manatee-Sarasota'!$M$8,Assumptions!$B$22:$B$25,0)))/12+'Manatee-Sarasota'!$O$8</f>
        <v>4856.22964105334</v>
      </c>
      <c r="J13" s="30" t="n">
        <f aca="false">IFERROR(E13/12/I13,0)</f>
        <v>1.52724792995126</v>
      </c>
      <c r="K13" s="30" t="n">
        <f aca="false">IFERROR(E13*Assumptions!$C$18/12/I13,0)</f>
        <v>1.22179834396101</v>
      </c>
      <c r="L13" s="21" t="n">
        <f aca="false">C13*B13+C13*(Assumptions!$C$16-D13)</f>
        <v>126000</v>
      </c>
      <c r="M13" s="21" t="n">
        <f aca="false">E13-(E13*INDEX(Assumptions!$H$37:$H$38,MATCH('Manatee-Sarasota'!$Q$8,Assumptions!$B$37:$B$38,0))+Assumptions!$C$41+IF('Manatee-Sarasota'!$N$8="Y",Assumptions!$C$42,Assumptions!$C$43))-I13*12</f>
        <v>1255.24430735992</v>
      </c>
      <c r="N13" s="21" t="n">
        <f aca="false">M13-E13*INDEX(Assumptions!$C$37:$C$38,MATCH('Manatee-Sarasota'!$Q$8,Assumptions!$B$37:$B$38,0))</f>
        <v>-16544.7556926401</v>
      </c>
      <c r="O13" s="23" t="n">
        <f aca="false">IFERROR(M13/L13,0)</f>
        <v>0.00996225640761842</v>
      </c>
      <c r="P13" s="47" t="s">
        <v>420</v>
      </c>
    </row>
    <row r="14" customFormat="false" ht="15" hidden="false" customHeight="false" outlineLevel="0" collapsed="false">
      <c r="A14" s="45" t="str">
        <f aca="false">'Manatee-Sarasota'!$B$8</f>
        <v>2801 23rd Ave W ("Beachin' Escape")</v>
      </c>
      <c r="B14" s="17" t="n">
        <v>0.25</v>
      </c>
      <c r="C14" s="46" t="n">
        <f aca="false">'Manatee-Sarasota'!$H$8</f>
        <v>600000</v>
      </c>
      <c r="D14" s="28" t="n">
        <f aca="false">'Manatee-Sarasota'!$I$8</f>
        <v>0.03</v>
      </c>
      <c r="E14" s="46" t="n">
        <f aca="false">'Manatee-Sarasota'!$K$8</f>
        <v>89000</v>
      </c>
      <c r="F14" s="21" t="n">
        <f aca="false">C14*(1-B14)</f>
        <v>450000</v>
      </c>
      <c r="G14" s="29" t="n">
        <f aca="false">IF((1-B14)&gt;0.75,Assumptions!$C$11,IF((1-B14)&gt;0.7,Assumptions!$C$12,Assumptions!$C$13))</f>
        <v>0.0725</v>
      </c>
      <c r="H14" s="21" t="n">
        <f aca="false">PMT(G14/12,Assumptions!$C$14,-F14)</f>
        <v>3069.79326025286</v>
      </c>
      <c r="I14" s="21" t="n">
        <f aca="false">H14+C14*INDEX(Assumptions!$C$28:$C$34,MATCH('Manatee-Sarasota'!$D$8,Assumptions!$B$28:$B$34,0))/12+IF(ISNUMBER('Manatee-Sarasota'!$P$8),'Manatee-Sarasota'!$P$8,INDEX(Assumptions!$D$28:$D$34,MATCH('Manatee-Sarasota'!$D$8,Assumptions!$B$28:$B$34,0))+INDEX(Assumptions!$C$22:$C$25,MATCH('Manatee-Sarasota'!$M$8,Assumptions!$B$22:$B$25,0)))/12+'Manatee-Sarasota'!$O$8</f>
        <v>4569.79326025286</v>
      </c>
      <c r="J14" s="30" t="n">
        <f aca="false">IFERROR(E14/12/I14,0)</f>
        <v>1.62297641146599</v>
      </c>
      <c r="K14" s="30" t="n">
        <f aca="false">IFERROR(E14*Assumptions!$C$18/12/I14,0)</f>
        <v>1.29838112917279</v>
      </c>
      <c r="L14" s="21" t="n">
        <f aca="false">C14*B14+C14*(Assumptions!$C$16-D14)</f>
        <v>156000</v>
      </c>
      <c r="M14" s="21" t="n">
        <f aca="false">E14-(E14*INDEX(Assumptions!$H$37:$H$38,MATCH('Manatee-Sarasota'!$Q$8,Assumptions!$B$37:$B$38,0))+Assumptions!$C$41+IF('Manatee-Sarasota'!$N$8="Y",Assumptions!$C$42,Assumptions!$C$43))-I14*12</f>
        <v>4692.48087696564</v>
      </c>
      <c r="N14" s="21" t="n">
        <f aca="false">M14-E14*INDEX(Assumptions!$C$37:$C$38,MATCH('Manatee-Sarasota'!$Q$8,Assumptions!$B$37:$B$38,0))</f>
        <v>-13107.5191230344</v>
      </c>
      <c r="O14" s="23" t="n">
        <f aca="false">IFERROR(M14/L14,0)</f>
        <v>0.0300800056215746</v>
      </c>
      <c r="P14" s="23" t="n">
        <f aca="false">IFERROR((M14-M13)/(L14-L13),0)</f>
        <v>0.114574552320191</v>
      </c>
    </row>
    <row r="15" customFormat="false" ht="15" hidden="false" customHeight="false" outlineLevel="0" collapsed="false">
      <c r="A15" s="45" t="str">
        <f aca="false">'Manatee-Sarasota'!$B$8</f>
        <v>2801 23rd Ave W ("Beachin' Escape")</v>
      </c>
      <c r="B15" s="17" t="n">
        <v>0.3</v>
      </c>
      <c r="C15" s="46" t="n">
        <f aca="false">'Manatee-Sarasota'!$H$8</f>
        <v>600000</v>
      </c>
      <c r="D15" s="28" t="n">
        <f aca="false">'Manatee-Sarasota'!$I$8</f>
        <v>0.03</v>
      </c>
      <c r="E15" s="46" t="n">
        <f aca="false">'Manatee-Sarasota'!$K$8</f>
        <v>89000</v>
      </c>
      <c r="F15" s="21" t="n">
        <f aca="false">C15*(1-B15)</f>
        <v>420000</v>
      </c>
      <c r="G15" s="29" t="n">
        <f aca="false">IF((1-B15)&gt;0.75,Assumptions!$C$11,IF((1-B15)&gt;0.7,Assumptions!$C$12,Assumptions!$C$13))</f>
        <v>0.07125</v>
      </c>
      <c r="H15" s="21" t="n">
        <f aca="false">PMT(G15/12,Assumptions!$C$14,-F15)</f>
        <v>2829.61779786476</v>
      </c>
      <c r="I15" s="21" t="n">
        <f aca="false">H15+C15*INDEX(Assumptions!$C$28:$C$34,MATCH('Manatee-Sarasota'!$D$8,Assumptions!$B$28:$B$34,0))/12+IF(ISNUMBER('Manatee-Sarasota'!$P$8),'Manatee-Sarasota'!$P$8,INDEX(Assumptions!$D$28:$D$34,MATCH('Manatee-Sarasota'!$D$8,Assumptions!$B$28:$B$34,0))+INDEX(Assumptions!$C$22:$C$25,MATCH('Manatee-Sarasota'!$M$8,Assumptions!$B$22:$B$25,0)))/12+'Manatee-Sarasota'!$O$8</f>
        <v>4329.61779786476</v>
      </c>
      <c r="J15" s="30" t="n">
        <f aca="false">IFERROR(E15/12/I15,0)</f>
        <v>1.71300724750447</v>
      </c>
      <c r="K15" s="30" t="n">
        <f aca="false">IFERROR(E15*Assumptions!$C$18/12/I15,0)</f>
        <v>1.37040579800357</v>
      </c>
      <c r="L15" s="21" t="n">
        <f aca="false">C15*B15+C15*(Assumptions!$C$16-D15)</f>
        <v>186000</v>
      </c>
      <c r="M15" s="21" t="n">
        <f aca="false">E15-(E15*INDEX(Assumptions!$H$37:$H$38,MATCH('Manatee-Sarasota'!$Q$8,Assumptions!$B$37:$B$38,0))+Assumptions!$C$41+IF('Manatee-Sarasota'!$N$8="Y",Assumptions!$C$42,Assumptions!$C$43))-I15*12</f>
        <v>7574.58642562285</v>
      </c>
      <c r="N15" s="21" t="n">
        <f aca="false">M15-E15*INDEX(Assumptions!$C$37:$C$38,MATCH('Manatee-Sarasota'!$Q$8,Assumptions!$B$37:$B$38,0))</f>
        <v>-10225.4135743771</v>
      </c>
      <c r="O15" s="23" t="n">
        <f aca="false">IFERROR(M15/L15,0)</f>
        <v>0.0407235829334562</v>
      </c>
      <c r="P15" s="23" t="n">
        <f aca="false">IFERROR((M15-M14)/(L15-L14),0)</f>
        <v>0.0960701849552405</v>
      </c>
    </row>
    <row r="17" customFormat="false" ht="15" hidden="false" customHeight="false" outlineLevel="0" collapsed="false">
      <c r="A17" s="45" t="str">
        <f aca="false">Pinellas!$B$6</f>
        <v>12565 81st Ave</v>
      </c>
      <c r="B17" s="17" t="n">
        <v>0.2</v>
      </c>
      <c r="C17" s="46" t="n">
        <f aca="false">Pinellas!$H$6</f>
        <v>485000</v>
      </c>
      <c r="D17" s="28" t="n">
        <f aca="false">Pinellas!$I$6</f>
        <v>0</v>
      </c>
      <c r="E17" s="46" t="n">
        <f aca="false">Pinellas!$K$6</f>
        <v>71000</v>
      </c>
      <c r="F17" s="21" t="n">
        <f aca="false">C17*(1-B17)</f>
        <v>388000</v>
      </c>
      <c r="G17" s="29" t="n">
        <f aca="false">IF((1-B17)&gt;0.75,Assumptions!$C$11,IF((1-B17)&gt;0.7,Assumptions!$C$12,Assumptions!$C$13))</f>
        <v>0.075</v>
      </c>
      <c r="H17" s="21" t="n">
        <f aca="false">PMT(G17/12,Assumptions!$C$14,-F17)</f>
        <v>2712.95229318478</v>
      </c>
      <c r="I17" s="21" t="n">
        <f aca="false">H17+C17*INDEX(Assumptions!$C$28:$C$34,MATCH(Pinellas!$D$6,Assumptions!$B$28:$B$34,0))/12+IF(ISNUMBER(Pinellas!$P$6),Pinellas!$P$6,INDEX(Assumptions!$D$28:$D$34,MATCH(Pinellas!$D$6,Assumptions!$B$28:$B$34,0))+INDEX(Assumptions!$C$22:$C$25,MATCH(Pinellas!$M$6,Assumptions!$B$22:$B$25,0)))/12+Pinellas!$O$6</f>
        <v>4109.61895985145</v>
      </c>
      <c r="J17" s="30" t="n">
        <f aca="false">IFERROR(E17/12/I17,0)</f>
        <v>1.43971174078887</v>
      </c>
      <c r="K17" s="30" t="n">
        <f aca="false">IFERROR(E17*Assumptions!$C$18/12/I17,0)</f>
        <v>1.15176939263109</v>
      </c>
      <c r="L17" s="21" t="n">
        <f aca="false">C17*B17+C17*(Assumptions!$C$16-D17)</f>
        <v>116400</v>
      </c>
      <c r="M17" s="21" t="n">
        <f aca="false">E17-(E17*INDEX(Assumptions!$H$37:$H$38,MATCH(Pinellas!$Q$6,Assumptions!$B$37:$B$38,0))+Assumptions!$C$41+IF(Pinellas!$N$6="Y",Assumptions!$C$42,Assumptions!$C$43))-I17*12</f>
        <v>-3645.4275182174</v>
      </c>
      <c r="N17" s="21" t="n">
        <f aca="false">M17-E17*INDEX(Assumptions!$C$37:$C$38,MATCH(Pinellas!$Q$6,Assumptions!$B$37:$B$38,0))</f>
        <v>-17845.4275182174</v>
      </c>
      <c r="O17" s="23" t="n">
        <f aca="false">IFERROR(M17/L17,0)</f>
        <v>-0.03131810582661</v>
      </c>
      <c r="P17" s="47" t="s">
        <v>420</v>
      </c>
    </row>
    <row r="18" customFormat="false" ht="15" hidden="false" customHeight="false" outlineLevel="0" collapsed="false">
      <c r="A18" s="45" t="str">
        <f aca="false">Pinellas!$B$6</f>
        <v>12565 81st Ave</v>
      </c>
      <c r="B18" s="17" t="n">
        <v>0.25</v>
      </c>
      <c r="C18" s="46" t="n">
        <f aca="false">Pinellas!$H$6</f>
        <v>485000</v>
      </c>
      <c r="D18" s="28" t="n">
        <f aca="false">Pinellas!$I$6</f>
        <v>0</v>
      </c>
      <c r="E18" s="46" t="n">
        <f aca="false">Pinellas!$K$6</f>
        <v>71000</v>
      </c>
      <c r="F18" s="21" t="n">
        <f aca="false">C18*(1-B18)</f>
        <v>363750</v>
      </c>
      <c r="G18" s="29" t="n">
        <f aca="false">IF((1-B18)&gt;0.75,Assumptions!$C$11,IF((1-B18)&gt;0.7,Assumptions!$C$12,Assumptions!$C$13))</f>
        <v>0.0725</v>
      </c>
      <c r="H18" s="21" t="n">
        <f aca="false">PMT(G18/12,Assumptions!$C$14,-F18)</f>
        <v>2481.4162187044</v>
      </c>
      <c r="I18" s="21" t="n">
        <f aca="false">H18+C18*INDEX(Assumptions!$C$28:$C$34,MATCH(Pinellas!$D$6,Assumptions!$B$28:$B$34,0))/12+IF(ISNUMBER(Pinellas!$P$6),Pinellas!$P$6,INDEX(Assumptions!$D$28:$D$34,MATCH(Pinellas!$D$6,Assumptions!$B$28:$B$34,0))+INDEX(Assumptions!$C$22:$C$25,MATCH(Pinellas!$M$6,Assumptions!$B$22:$B$25,0)))/12+Pinellas!$O$6</f>
        <v>3878.08288537106</v>
      </c>
      <c r="J18" s="30" t="n">
        <f aca="false">IFERROR(E18/12/I18,0)</f>
        <v>1.52566792447515</v>
      </c>
      <c r="K18" s="30" t="n">
        <f aca="false">IFERROR(E18*Assumptions!$C$18/12/I18,0)</f>
        <v>1.22053433958012</v>
      </c>
      <c r="L18" s="21" t="n">
        <f aca="false">C18*B18+C18*(Assumptions!$C$16-D18)</f>
        <v>140650</v>
      </c>
      <c r="M18" s="21" t="n">
        <f aca="false">E18-(E18*INDEX(Assumptions!$H$37:$H$38,MATCH(Pinellas!$Q$6,Assumptions!$B$37:$B$38,0))+Assumptions!$C$41+IF(Pinellas!$N$6="Y",Assumptions!$C$42,Assumptions!$C$43))-I18*12</f>
        <v>-866.994624452775</v>
      </c>
      <c r="N18" s="21" t="n">
        <f aca="false">M18-E18*INDEX(Assumptions!$C$37:$C$38,MATCH(Pinellas!$Q$6,Assumptions!$B$37:$B$38,0))</f>
        <v>-15066.9946244528</v>
      </c>
      <c r="O18" s="23" t="n">
        <f aca="false">IFERROR(M18/L18,0)</f>
        <v>-0.00616419924957536</v>
      </c>
      <c r="P18" s="23" t="n">
        <f aca="false">IFERROR((M18-M17)/(L18-L17),0)</f>
        <v>0.114574552320191</v>
      </c>
    </row>
    <row r="19" customFormat="false" ht="15" hidden="false" customHeight="false" outlineLevel="0" collapsed="false">
      <c r="A19" s="45" t="str">
        <f aca="false">Pinellas!$B$6</f>
        <v>12565 81st Ave</v>
      </c>
      <c r="B19" s="17" t="n">
        <v>0.3</v>
      </c>
      <c r="C19" s="46" t="n">
        <f aca="false">Pinellas!$H$6</f>
        <v>485000</v>
      </c>
      <c r="D19" s="28" t="n">
        <f aca="false">Pinellas!$I$6</f>
        <v>0</v>
      </c>
      <c r="E19" s="46" t="n">
        <f aca="false">Pinellas!$K$6</f>
        <v>71000</v>
      </c>
      <c r="F19" s="21" t="n">
        <f aca="false">C19*(1-B19)</f>
        <v>339500</v>
      </c>
      <c r="G19" s="29" t="n">
        <f aca="false">IF((1-B19)&gt;0.75,Assumptions!$C$11,IF((1-B19)&gt;0.7,Assumptions!$C$12,Assumptions!$C$13))</f>
        <v>0.07125</v>
      </c>
      <c r="H19" s="21" t="n">
        <f aca="false">PMT(G19/12,Assumptions!$C$14,-F19)</f>
        <v>2287.27438660735</v>
      </c>
      <c r="I19" s="21" t="n">
        <f aca="false">H19+C19*INDEX(Assumptions!$C$28:$C$34,MATCH(Pinellas!$D$6,Assumptions!$B$28:$B$34,0))/12+IF(ISNUMBER(Pinellas!$P$6),Pinellas!$P$6,INDEX(Assumptions!$D$28:$D$34,MATCH(Pinellas!$D$6,Assumptions!$B$28:$B$34,0))+INDEX(Assumptions!$C$22:$C$25,MATCH(Pinellas!$M$6,Assumptions!$B$22:$B$25,0)))/12+Pinellas!$O$6</f>
        <v>3683.94105327402</v>
      </c>
      <c r="J19" s="30" t="n">
        <f aca="false">IFERROR(E19/12/I19,0)</f>
        <v>1.60606985321016</v>
      </c>
      <c r="K19" s="30" t="n">
        <f aca="false">IFERROR(E19*Assumptions!$C$18/12/I19,0)</f>
        <v>1.28485588256812</v>
      </c>
      <c r="L19" s="21" t="n">
        <f aca="false">C19*B19+C19*(Assumptions!$C$16-D19)</f>
        <v>164900</v>
      </c>
      <c r="M19" s="21" t="n">
        <f aca="false">E19-(E19*INDEX(Assumptions!$H$37:$H$38,MATCH(Pinellas!$Q$6,Assumptions!$B$37:$B$38,0))+Assumptions!$C$41+IF(Pinellas!$N$6="Y",Assumptions!$C$42,Assumptions!$C$43))-I19*12</f>
        <v>1462.70736071181</v>
      </c>
      <c r="N19" s="21" t="n">
        <f aca="false">M19-E19*INDEX(Assumptions!$C$37:$C$38,MATCH(Pinellas!$Q$6,Assumptions!$B$37:$B$38,0))</f>
        <v>-12737.2926392882</v>
      </c>
      <c r="O19" s="23" t="n">
        <f aca="false">IFERROR(M19/L19,0)</f>
        <v>0.00887026901583874</v>
      </c>
      <c r="P19" s="23" t="n">
        <f aca="false">IFERROR((M19-M18)/(L19-L18),0)</f>
        <v>0.0960701849552405</v>
      </c>
    </row>
    <row r="21" customFormat="false" ht="15" hidden="false" customHeight="false" outlineLevel="0" collapsed="false">
      <c r="A21" s="45" t="str">
        <f aca="false">Pinellas!$B$7</f>
        <v>4000 46th St N</v>
      </c>
      <c r="B21" s="17" t="n">
        <v>0.2</v>
      </c>
      <c r="C21" s="46" t="n">
        <f aca="false">Pinellas!$H$7</f>
        <v>485000</v>
      </c>
      <c r="D21" s="28" t="n">
        <f aca="false">Pinellas!$I$7</f>
        <v>0</v>
      </c>
      <c r="E21" s="46" t="n">
        <f aca="false">Pinellas!$K$7</f>
        <v>85000</v>
      </c>
      <c r="F21" s="21" t="n">
        <f aca="false">C21*(1-B21)</f>
        <v>388000</v>
      </c>
      <c r="G21" s="29" t="n">
        <f aca="false">IF((1-B21)&gt;0.75,Assumptions!$C$11,IF((1-B21)&gt;0.7,Assumptions!$C$12,Assumptions!$C$13))</f>
        <v>0.075</v>
      </c>
      <c r="H21" s="21" t="n">
        <f aca="false">PMT(G21/12,Assumptions!$C$14,-F21)</f>
        <v>2712.95229318478</v>
      </c>
      <c r="I21" s="21" t="n">
        <f aca="false">H21+C21*INDEX(Assumptions!$C$28:$C$34,MATCH(Pinellas!$D$7,Assumptions!$B$28:$B$34,0))/12+IF(ISNUMBER(Pinellas!$P$7),Pinellas!$P$7,INDEX(Assumptions!$D$28:$D$34,MATCH(Pinellas!$D$7,Assumptions!$B$28:$B$34,0))+INDEX(Assumptions!$C$22:$C$25,MATCH(Pinellas!$M$7,Assumptions!$B$22:$B$25,0)))/12+Pinellas!$O$7</f>
        <v>4109.61895985145</v>
      </c>
      <c r="J21" s="30" t="n">
        <f aca="false">IFERROR(E21/12/I21,0)</f>
        <v>1.72359856291625</v>
      </c>
      <c r="K21" s="30" t="n">
        <f aca="false">IFERROR(E21*Assumptions!$C$18/12/I21,0)</f>
        <v>1.378878850333</v>
      </c>
      <c r="L21" s="21" t="n">
        <f aca="false">C21*B21+C21*(Assumptions!$C$16-D21)</f>
        <v>116400</v>
      </c>
      <c r="M21" s="21" t="n">
        <f aca="false">E21-(E21*INDEX(Assumptions!$H$37:$H$38,MATCH(Pinellas!$Q$7,Assumptions!$B$37:$B$38,0))+Assumptions!$C$41+IF(Pinellas!$N$7="Y",Assumptions!$C$42,Assumptions!$C$43))-I21*12</f>
        <v>7134.5724817826</v>
      </c>
      <c r="N21" s="21" t="n">
        <f aca="false">M21-E21*INDEX(Assumptions!$C$37:$C$38,MATCH(Pinellas!$Q$7,Assumptions!$B$37:$B$38,0))</f>
        <v>-9865.4275182174</v>
      </c>
      <c r="O21" s="23" t="n">
        <f aca="false">IFERROR(M21/L21,0)</f>
        <v>0.0612935780221873</v>
      </c>
      <c r="P21" s="47" t="s">
        <v>420</v>
      </c>
    </row>
    <row r="22" customFormat="false" ht="15" hidden="false" customHeight="false" outlineLevel="0" collapsed="false">
      <c r="A22" s="45" t="str">
        <f aca="false">Pinellas!$B$7</f>
        <v>4000 46th St N</v>
      </c>
      <c r="B22" s="17" t="n">
        <v>0.25</v>
      </c>
      <c r="C22" s="46" t="n">
        <f aca="false">Pinellas!$H$7</f>
        <v>485000</v>
      </c>
      <c r="D22" s="28" t="n">
        <f aca="false">Pinellas!$I$7</f>
        <v>0</v>
      </c>
      <c r="E22" s="46" t="n">
        <f aca="false">Pinellas!$K$7</f>
        <v>85000</v>
      </c>
      <c r="F22" s="21" t="n">
        <f aca="false">C22*(1-B22)</f>
        <v>363750</v>
      </c>
      <c r="G22" s="29" t="n">
        <f aca="false">IF((1-B22)&gt;0.75,Assumptions!$C$11,IF((1-B22)&gt;0.7,Assumptions!$C$12,Assumptions!$C$13))</f>
        <v>0.0725</v>
      </c>
      <c r="H22" s="21" t="n">
        <f aca="false">PMT(G22/12,Assumptions!$C$14,-F22)</f>
        <v>2481.4162187044</v>
      </c>
      <c r="I22" s="21" t="n">
        <f aca="false">H22+C22*INDEX(Assumptions!$C$28:$C$34,MATCH(Pinellas!$D$7,Assumptions!$B$28:$B$34,0))/12+IF(ISNUMBER(Pinellas!$P$7),Pinellas!$P$7,INDEX(Assumptions!$D$28:$D$34,MATCH(Pinellas!$D$7,Assumptions!$B$28:$B$34,0))+INDEX(Assumptions!$C$22:$C$25,MATCH(Pinellas!$M$7,Assumptions!$B$22:$B$25,0)))/12+Pinellas!$O$7</f>
        <v>3878.08288537106</v>
      </c>
      <c r="J22" s="30" t="n">
        <f aca="false">IFERROR(E22/12/I22,0)</f>
        <v>1.8265038532449</v>
      </c>
      <c r="K22" s="30" t="n">
        <f aca="false">IFERROR(E22*Assumptions!$C$18/12/I22,0)</f>
        <v>1.46120308259592</v>
      </c>
      <c r="L22" s="21" t="n">
        <f aca="false">C22*B22+C22*(Assumptions!$C$16-D22)</f>
        <v>140650</v>
      </c>
      <c r="M22" s="21" t="n">
        <f aca="false">E22-(E22*INDEX(Assumptions!$H$37:$H$38,MATCH(Pinellas!$Q$7,Assumptions!$B$37:$B$38,0))+Assumptions!$C$41+IF(Pinellas!$N$7="Y",Assumptions!$C$42,Assumptions!$C$43))-I22*12</f>
        <v>9913.00537554723</v>
      </c>
      <c r="N22" s="21" t="n">
        <f aca="false">M22-E22*INDEX(Assumptions!$C$37:$C$38,MATCH(Pinellas!$Q$7,Assumptions!$B$37:$B$38,0))</f>
        <v>-7086.99462445278</v>
      </c>
      <c r="O22" s="23" t="n">
        <f aca="false">IFERROR(M22/L22,0)</f>
        <v>0.0704799529011534</v>
      </c>
      <c r="P22" s="23" t="n">
        <f aca="false">IFERROR((M22-M21)/(L22-L21),0)</f>
        <v>0.114574552320191</v>
      </c>
    </row>
    <row r="23" customFormat="false" ht="15" hidden="false" customHeight="false" outlineLevel="0" collapsed="false">
      <c r="A23" s="45" t="str">
        <f aca="false">Pinellas!$B$7</f>
        <v>4000 46th St N</v>
      </c>
      <c r="B23" s="17" t="n">
        <v>0.3</v>
      </c>
      <c r="C23" s="46" t="n">
        <f aca="false">Pinellas!$H$7</f>
        <v>485000</v>
      </c>
      <c r="D23" s="28" t="n">
        <f aca="false">Pinellas!$I$7</f>
        <v>0</v>
      </c>
      <c r="E23" s="46" t="n">
        <f aca="false">Pinellas!$K$7</f>
        <v>85000</v>
      </c>
      <c r="F23" s="21" t="n">
        <f aca="false">C23*(1-B23)</f>
        <v>339500</v>
      </c>
      <c r="G23" s="29" t="n">
        <f aca="false">IF((1-B23)&gt;0.75,Assumptions!$C$11,IF((1-B23)&gt;0.7,Assumptions!$C$12,Assumptions!$C$13))</f>
        <v>0.07125</v>
      </c>
      <c r="H23" s="21" t="n">
        <f aca="false">PMT(G23/12,Assumptions!$C$14,-F23)</f>
        <v>2287.27438660735</v>
      </c>
      <c r="I23" s="21" t="n">
        <f aca="false">H23+C23*INDEX(Assumptions!$C$28:$C$34,MATCH(Pinellas!$D$7,Assumptions!$B$28:$B$34,0))/12+IF(ISNUMBER(Pinellas!$P$7),Pinellas!$P$7,INDEX(Assumptions!$D$28:$D$34,MATCH(Pinellas!$D$7,Assumptions!$B$28:$B$34,0))+INDEX(Assumptions!$C$22:$C$25,MATCH(Pinellas!$M$7,Assumptions!$B$22:$B$25,0)))/12+Pinellas!$O$7</f>
        <v>3683.94105327402</v>
      </c>
      <c r="J23" s="30" t="n">
        <f aca="false">IFERROR(E23/12/I23,0)</f>
        <v>1.92275968342061</v>
      </c>
      <c r="K23" s="30" t="n">
        <f aca="false">IFERROR(E23*Assumptions!$C$18/12/I23,0)</f>
        <v>1.53820774673649</v>
      </c>
      <c r="L23" s="21" t="n">
        <f aca="false">C23*B23+C23*(Assumptions!$C$16-D23)</f>
        <v>164900</v>
      </c>
      <c r="M23" s="21" t="n">
        <f aca="false">E23-(E23*INDEX(Assumptions!$H$37:$H$38,MATCH(Pinellas!$Q$7,Assumptions!$B$37:$B$38,0))+Assumptions!$C$41+IF(Pinellas!$N$7="Y",Assumptions!$C$42,Assumptions!$C$43))-I23*12</f>
        <v>12242.7073607118</v>
      </c>
      <c r="N23" s="21" t="n">
        <f aca="false">M23-E23*INDEX(Assumptions!$C$37:$C$38,MATCH(Pinellas!$Q$7,Assumptions!$B$37:$B$38,0))</f>
        <v>-4757.29263928819</v>
      </c>
      <c r="O23" s="23" t="n">
        <f aca="false">IFERROR(M23/L23,0)</f>
        <v>0.0742432223208721</v>
      </c>
      <c r="P23" s="23" t="n">
        <f aca="false">IFERROR((M23-M22)/(L23-L22),0)</f>
        <v>0.0960701849552405</v>
      </c>
    </row>
    <row r="25" customFormat="false" ht="15" hidden="false" customHeight="false" outlineLevel="0" collapsed="false">
      <c r="A25" s="45" t="str">
        <f aca="false">'Monroe (Keys)'!$B$6</f>
        <v>1500 Ocean Bay Dr #E5 (Kawama Yacht Club)</v>
      </c>
      <c r="B25" s="17" t="n">
        <v>0.2</v>
      </c>
      <c r="C25" s="46" t="n">
        <f aca="false">'Monroe (Keys)'!$H$6</f>
        <v>760000</v>
      </c>
      <c r="D25" s="28" t="n">
        <f aca="false">'Monroe (Keys)'!$I$6</f>
        <v>0</v>
      </c>
      <c r="E25" s="46" t="n">
        <f aca="false">'Monroe (Keys)'!$K$6</f>
        <v>98980</v>
      </c>
      <c r="F25" s="21" t="n">
        <f aca="false">C25*(1-B25)</f>
        <v>608000</v>
      </c>
      <c r="G25" s="29" t="n">
        <f aca="false">IF((1-B25)&gt;0.75,Assumptions!$C$11,IF((1-B25)&gt;0.7,Assumptions!$C$12,Assumptions!$C$13))</f>
        <v>0.075</v>
      </c>
      <c r="H25" s="21" t="n">
        <f aca="false">PMT(G25/12,Assumptions!$C$14,-F25)</f>
        <v>4251.2242120009</v>
      </c>
      <c r="I25" s="21" t="n">
        <f aca="false">H25+C25*INDEX(Assumptions!$C$28:$C$34,MATCH('Monroe (Keys)'!$D$6,Assumptions!$B$28:$B$34,0))/12+IF(ISNUMBER('Monroe (Keys)'!$P$6),'Monroe (Keys)'!$P$6,INDEX(Assumptions!$D$28:$D$34,MATCH('Monroe (Keys)'!$D$6,Assumptions!$B$28:$B$34,0))+INDEX(Assumptions!$C$22:$C$25,MATCH('Monroe (Keys)'!$M$6,Assumptions!$B$22:$B$25,0)))/12+'Monroe (Keys)'!$O$6</f>
        <v>6302.89087866756</v>
      </c>
      <c r="J25" s="30" t="n">
        <f aca="false">IFERROR(E25/12/I25,0)</f>
        <v>1.30865875550062</v>
      </c>
      <c r="K25" s="30" t="n">
        <f aca="false">IFERROR(E25*Assumptions!$C$18/12/I25,0)</f>
        <v>1.0469270044005</v>
      </c>
      <c r="L25" s="21" t="n">
        <f aca="false">C25*B25+C25*(Assumptions!$C$16-D25)</f>
        <v>182400</v>
      </c>
      <c r="M25" s="21" t="n">
        <f aca="false">E25-(E25*INDEX(Assumptions!$H$37:$H$38,MATCH('Monroe (Keys)'!$Q$6,Assumptions!$B$37:$B$38,0))+Assumptions!$C$41+IF('Monroe (Keys)'!$N$6="Y",Assumptions!$C$42,Assumptions!$C$43))-I25*12</f>
        <v>-6620.09054401076</v>
      </c>
      <c r="N25" s="21" t="n">
        <f aca="false">M25-E25*INDEX(Assumptions!$C$37:$C$38,MATCH('Monroe (Keys)'!$Q$6,Assumptions!$B$37:$B$38,0))</f>
        <v>-26416.0905440108</v>
      </c>
      <c r="O25" s="23" t="n">
        <f aca="false">IFERROR(M25/L25,0)</f>
        <v>-0.0362943560526906</v>
      </c>
      <c r="P25" s="47" t="s">
        <v>420</v>
      </c>
    </row>
    <row r="26" customFormat="false" ht="15" hidden="false" customHeight="false" outlineLevel="0" collapsed="false">
      <c r="A26" s="45" t="str">
        <f aca="false">'Monroe (Keys)'!$B$6</f>
        <v>1500 Ocean Bay Dr #E5 (Kawama Yacht Club)</v>
      </c>
      <c r="B26" s="17" t="n">
        <v>0.25</v>
      </c>
      <c r="C26" s="46" t="n">
        <f aca="false">'Monroe (Keys)'!$H$6</f>
        <v>760000</v>
      </c>
      <c r="D26" s="28" t="n">
        <f aca="false">'Monroe (Keys)'!$I$6</f>
        <v>0</v>
      </c>
      <c r="E26" s="46" t="n">
        <f aca="false">'Monroe (Keys)'!$K$6</f>
        <v>98980</v>
      </c>
      <c r="F26" s="21" t="n">
        <f aca="false">C26*(1-B26)</f>
        <v>570000</v>
      </c>
      <c r="G26" s="29" t="n">
        <f aca="false">IF((1-B26)&gt;0.75,Assumptions!$C$11,IF((1-B26)&gt;0.7,Assumptions!$C$12,Assumptions!$C$13))</f>
        <v>0.0725</v>
      </c>
      <c r="H26" s="21" t="n">
        <f aca="false">PMT(G26/12,Assumptions!$C$14,-F26)</f>
        <v>3888.40479632029</v>
      </c>
      <c r="I26" s="21" t="n">
        <f aca="false">H26+C26*INDEX(Assumptions!$C$28:$C$34,MATCH('Monroe (Keys)'!$D$6,Assumptions!$B$28:$B$34,0))/12+IF(ISNUMBER('Monroe (Keys)'!$P$6),'Monroe (Keys)'!$P$6,INDEX(Assumptions!$D$28:$D$34,MATCH('Monroe (Keys)'!$D$6,Assumptions!$B$28:$B$34,0))+INDEX(Assumptions!$C$22:$C$25,MATCH('Monroe (Keys)'!$M$6,Assumptions!$B$22:$B$25,0)))/12+'Monroe (Keys)'!$O$6</f>
        <v>5940.07146298696</v>
      </c>
      <c r="J26" s="30" t="n">
        <f aca="false">IFERROR(E26/12/I26,0)</f>
        <v>1.38859159939899</v>
      </c>
      <c r="K26" s="30" t="n">
        <f aca="false">IFERROR(E26*Assumptions!$C$18/12/I26,0)</f>
        <v>1.11087327951919</v>
      </c>
      <c r="L26" s="21" t="n">
        <f aca="false">C26*B26+C26*(Assumptions!$C$16-D26)</f>
        <v>220400</v>
      </c>
      <c r="M26" s="21" t="n">
        <f aca="false">E26-(E26*INDEX(Assumptions!$H$37:$H$38,MATCH('Monroe (Keys)'!$Q$6,Assumptions!$B$37:$B$38,0))+Assumptions!$C$41+IF('Monroe (Keys)'!$N$6="Y",Assumptions!$C$42,Assumptions!$C$43))-I26*12</f>
        <v>-2266.25755584351</v>
      </c>
      <c r="N26" s="21" t="n">
        <f aca="false">M26-E26*INDEX(Assumptions!$C$37:$C$38,MATCH('Monroe (Keys)'!$Q$6,Assumptions!$B$37:$B$38,0))</f>
        <v>-22062.2575558435</v>
      </c>
      <c r="O26" s="23" t="n">
        <f aca="false">IFERROR(M26/L26,0)</f>
        <v>-0.0102824752987455</v>
      </c>
      <c r="P26" s="23" t="n">
        <f aca="false">IFERROR((M26-M25)/(L26-L25),0)</f>
        <v>0.114574552320191</v>
      </c>
    </row>
    <row r="27" customFormat="false" ht="15" hidden="false" customHeight="false" outlineLevel="0" collapsed="false">
      <c r="A27" s="45" t="str">
        <f aca="false">'Monroe (Keys)'!$B$6</f>
        <v>1500 Ocean Bay Dr #E5 (Kawama Yacht Club)</v>
      </c>
      <c r="B27" s="17" t="n">
        <v>0.3</v>
      </c>
      <c r="C27" s="46" t="n">
        <f aca="false">'Monroe (Keys)'!$H$6</f>
        <v>760000</v>
      </c>
      <c r="D27" s="28" t="n">
        <f aca="false">'Monroe (Keys)'!$I$6</f>
        <v>0</v>
      </c>
      <c r="E27" s="46" t="n">
        <f aca="false">'Monroe (Keys)'!$K$6</f>
        <v>98980</v>
      </c>
      <c r="F27" s="21" t="n">
        <f aca="false">C27*(1-B27)</f>
        <v>532000</v>
      </c>
      <c r="G27" s="29" t="n">
        <f aca="false">IF((1-B27)&gt;0.75,Assumptions!$C$11,IF((1-B27)&gt;0.7,Assumptions!$C$12,Assumptions!$C$13))</f>
        <v>0.07125</v>
      </c>
      <c r="H27" s="21" t="n">
        <f aca="false">PMT(G27/12,Assumptions!$C$14,-F27)</f>
        <v>3584.18254396203</v>
      </c>
      <c r="I27" s="21" t="n">
        <f aca="false">H27+C27*INDEX(Assumptions!$C$28:$C$34,MATCH('Monroe (Keys)'!$D$6,Assumptions!$B$28:$B$34,0))/12+IF(ISNUMBER('Monroe (Keys)'!$P$6),'Monroe (Keys)'!$P$6,INDEX(Assumptions!$D$28:$D$34,MATCH('Monroe (Keys)'!$D$6,Assumptions!$B$28:$B$34,0))+INDEX(Assumptions!$C$22:$C$25,MATCH('Monroe (Keys)'!$M$6,Assumptions!$B$22:$B$25,0)))/12+'Monroe (Keys)'!$O$6</f>
        <v>5635.8492106287</v>
      </c>
      <c r="J27" s="30" t="n">
        <f aca="false">IFERROR(E27/12/I27,0)</f>
        <v>1.46354755513645</v>
      </c>
      <c r="K27" s="30" t="n">
        <f aca="false">IFERROR(E27*Assumptions!$C$18/12/I27,0)</f>
        <v>1.17083804410916</v>
      </c>
      <c r="L27" s="21" t="n">
        <f aca="false">C27*B27+C27*(Assumptions!$C$16-D27)</f>
        <v>258400</v>
      </c>
      <c r="M27" s="21" t="n">
        <f aca="false">E27-(E27*INDEX(Assumptions!$H$37:$H$38,MATCH('Monroe (Keys)'!$Q$6,Assumptions!$B$37:$B$38,0))+Assumptions!$C$41+IF('Monroe (Keys)'!$N$6="Y",Assumptions!$C$42,Assumptions!$C$43))-I27*12</f>
        <v>1384.40947245562</v>
      </c>
      <c r="N27" s="21" t="n">
        <f aca="false">M27-E27*INDEX(Assumptions!$C$37:$C$38,MATCH('Monroe (Keys)'!$Q$6,Assumptions!$B$37:$B$38,0))</f>
        <v>-18411.5905275444</v>
      </c>
      <c r="O27" s="23" t="n">
        <f aca="false">IFERROR(M27/L27,0)</f>
        <v>0.00535762179742887</v>
      </c>
      <c r="P27" s="23" t="n">
        <f aca="false">IFERROR((M27-M26)/(L27-L26),0)</f>
        <v>0.0960701849552401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7" topLeftCell="C28" activePane="bottomRight" state="frozen"/>
      <selection pane="topLeft" activeCell="A1" activeCellId="0" sqref="A1"/>
      <selection pane="topRight" activeCell="C1" activeCellId="0" sqref="C1"/>
      <selection pane="bottomLeft" activeCell="A28" activeCellId="0" sqref="A2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7" min="6" style="0" width="6"/>
    <col collapsed="false" customWidth="true" hidden="false" outlineLevel="0" max="8" min="8" style="0" width="7"/>
    <col collapsed="false" customWidth="true" hidden="false" outlineLevel="0" max="9" min="9" style="0" width="6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false" outlineLevel="0" max="14" min="12" style="0" width="11"/>
    <col collapsed="false" customWidth="true" hidden="false" outlineLevel="0" max="15" min="15" style="0" width="13"/>
    <col collapsed="false" customWidth="true" hidden="false" outlineLevel="0" max="16" min="16" style="0" width="8"/>
    <col collapsed="false" customWidth="true" hidden="false" outlineLevel="0" max="17" min="17" style="0" width="6"/>
    <col collapsed="false" customWidth="true" hidden="false" outlineLevel="0" max="18" min="18" style="0" width="8"/>
    <col collapsed="false" customWidth="true" hidden="false" outlineLevel="0" max="19" min="19" style="0" width="15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  <col collapsed="false" customWidth="true" hidden="false" outlineLevel="0" max="23" min="23" style="0" width="10"/>
    <col collapsed="false" customWidth="true" hidden="false" outlineLevel="0" max="25" min="24" style="0" width="12"/>
    <col collapsed="false" customWidth="true" hidden="false" outlineLevel="0" max="26" min="26" style="0" width="11"/>
    <col collapsed="false" customWidth="true" hidden="false" outlineLevel="0" max="27" min="27" style="0" width="7"/>
    <col collapsed="false" customWidth="true" hidden="false" outlineLevel="0" max="28" min="28" style="0" width="11"/>
    <col collapsed="false" customWidth="true" hidden="false" outlineLevel="0" max="29" min="29" style="0" width="9"/>
    <col collapsed="false" customWidth="true" hidden="false" outlineLevel="0" max="30" min="30" style="0" width="10"/>
    <col collapsed="false" customWidth="true" hidden="false" outlineLevel="0" max="31" min="31" style="0" width="60"/>
  </cols>
  <sheetData>
    <row r="1" customFormat="false" ht="17.35" hidden="false" customHeight="false" outlineLevel="0" collapsed="false">
      <c r="A1" s="1" t="s">
        <v>421</v>
      </c>
    </row>
    <row r="2" customFormat="false" ht="15" hidden="false" customHeight="false" outlineLevel="0" collapsed="false">
      <c r="A2" s="2" t="s">
        <v>422</v>
      </c>
    </row>
    <row r="3" customFormat="false" ht="25.5" hidden="false" customHeight="true" outlineLevel="0" collapsed="false">
      <c r="A3" s="10" t="s">
        <v>423</v>
      </c>
      <c r="B3" s="48" t="s">
        <v>424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customFormat="false" ht="25.5" hidden="false" customHeight="true" outlineLevel="0" collapsed="false">
      <c r="A4" s="10" t="s">
        <v>425</v>
      </c>
      <c r="B4" s="48" t="s">
        <v>426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customFormat="false" ht="25.5" hidden="false" customHeight="true" outlineLevel="0" collapsed="false">
      <c r="A5" s="10" t="s">
        <v>427</v>
      </c>
      <c r="B5" s="48" t="s">
        <v>428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customFormat="false" ht="25.5" hidden="false" customHeight="true" outlineLevel="0" collapsed="false">
      <c r="A6" s="10" t="s">
        <v>429</v>
      </c>
      <c r="B6" s="48" t="s">
        <v>430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</row>
    <row r="7" customFormat="false" ht="25.5" hidden="false" customHeight="true" outlineLevel="0" collapsed="false">
      <c r="A7" s="10" t="s">
        <v>431</v>
      </c>
      <c r="B7" s="48" t="s">
        <v>432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</row>
    <row r="8" customFormat="false" ht="25.5" hidden="false" customHeight="true" outlineLevel="0" collapsed="false">
      <c r="A8" s="10" t="s">
        <v>433</v>
      </c>
      <c r="B8" s="48" t="s">
        <v>434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</row>
    <row r="10" customFormat="false" ht="35.05" hidden="false" customHeight="true" outlineLevel="0" collapsed="false">
      <c r="A10" s="3" t="s">
        <v>435</v>
      </c>
      <c r="B10" s="3" t="s">
        <v>436</v>
      </c>
      <c r="C10" s="3" t="s">
        <v>437</v>
      </c>
      <c r="D10" s="3" t="s">
        <v>438</v>
      </c>
      <c r="E10" s="3" t="s">
        <v>439</v>
      </c>
      <c r="F10" s="3" t="s">
        <v>440</v>
      </c>
      <c r="G10" s="3" t="s">
        <v>441</v>
      </c>
      <c r="H10" s="3" t="s">
        <v>442</v>
      </c>
      <c r="I10" s="3" t="s">
        <v>443</v>
      </c>
      <c r="J10" s="3" t="s">
        <v>444</v>
      </c>
      <c r="K10" s="3" t="s">
        <v>137</v>
      </c>
      <c r="L10" s="3" t="s">
        <v>445</v>
      </c>
      <c r="M10" s="3" t="s">
        <v>446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customFormat="false" ht="39.75" hidden="false" customHeight="true" outlineLevel="0" collapsed="false">
      <c r="A11" s="27" t="s">
        <v>447</v>
      </c>
      <c r="B11" s="27" t="s">
        <v>448</v>
      </c>
      <c r="C11" s="27" t="s">
        <v>154</v>
      </c>
      <c r="D11" s="27" t="s">
        <v>449</v>
      </c>
      <c r="E11" s="27" t="s">
        <v>450</v>
      </c>
      <c r="F11" s="19" t="n">
        <v>595000</v>
      </c>
      <c r="G11" s="19" t="n">
        <v>516458</v>
      </c>
      <c r="H11" s="19" t="n">
        <v>532465</v>
      </c>
      <c r="I11" s="18" t="n">
        <v>0.03</v>
      </c>
      <c r="J11" s="19" t="n">
        <v>584900</v>
      </c>
      <c r="K11" s="13" t="n">
        <v>26</v>
      </c>
      <c r="L11" s="27" t="s">
        <v>145</v>
      </c>
      <c r="M11" s="26" t="s">
        <v>451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 customFormat="false" ht="39.75" hidden="false" customHeight="true" outlineLevel="0" collapsed="false">
      <c r="A12" s="27" t="s">
        <v>452</v>
      </c>
      <c r="B12" s="27" t="s">
        <v>453</v>
      </c>
      <c r="C12" s="27" t="s">
        <v>154</v>
      </c>
      <c r="D12" s="27" t="s">
        <v>454</v>
      </c>
      <c r="E12" s="27" t="s">
        <v>455</v>
      </c>
      <c r="F12" s="19" t="n">
        <v>420000</v>
      </c>
      <c r="G12" s="19" t="n">
        <v>325183</v>
      </c>
      <c r="H12" s="19" t="n">
        <v>379031</v>
      </c>
      <c r="I12" s="18" t="n">
        <v>0.14</v>
      </c>
      <c r="J12" s="19" t="n">
        <v>475000</v>
      </c>
      <c r="K12" s="13" t="n">
        <v>18</v>
      </c>
      <c r="L12" s="27" t="s">
        <v>145</v>
      </c>
      <c r="M12" s="26" t="s">
        <v>456</v>
      </c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</row>
    <row r="13" customFormat="false" ht="39.75" hidden="false" customHeight="true" outlineLevel="0" collapsed="false">
      <c r="A13" s="27" t="s">
        <v>457</v>
      </c>
      <c r="B13" s="27" t="s">
        <v>458</v>
      </c>
      <c r="C13" s="27" t="s">
        <v>154</v>
      </c>
      <c r="D13" s="27" t="s">
        <v>459</v>
      </c>
      <c r="E13" s="27" t="s">
        <v>460</v>
      </c>
      <c r="F13" s="19" t="n">
        <v>474000</v>
      </c>
      <c r="G13" s="27"/>
      <c r="H13" s="19" t="n">
        <v>430669</v>
      </c>
      <c r="I13" s="18"/>
      <c r="J13" s="19" t="n">
        <v>645000</v>
      </c>
      <c r="K13" s="13" t="n">
        <v>24</v>
      </c>
      <c r="L13" s="27" t="s">
        <v>145</v>
      </c>
      <c r="M13" s="26" t="s">
        <v>461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</row>
    <row r="14" customFormat="false" ht="39.75" hidden="false" customHeight="true" outlineLevel="0" collapsed="false">
      <c r="A14" s="27" t="s">
        <v>462</v>
      </c>
      <c r="B14" s="27" t="s">
        <v>463</v>
      </c>
      <c r="C14" s="27" t="s">
        <v>145</v>
      </c>
      <c r="D14" s="27" t="s">
        <v>75</v>
      </c>
      <c r="E14" s="27" t="s">
        <v>464</v>
      </c>
      <c r="F14" s="19" t="n">
        <v>235000</v>
      </c>
      <c r="G14" s="19" t="n">
        <v>287873</v>
      </c>
      <c r="H14" s="19" t="n">
        <v>356997</v>
      </c>
      <c r="I14" s="18" t="n">
        <v>0.19</v>
      </c>
      <c r="J14" s="19" t="n">
        <v>499000</v>
      </c>
      <c r="K14" s="13" t="n">
        <v>29</v>
      </c>
      <c r="L14" s="27" t="s">
        <v>145</v>
      </c>
      <c r="M14" s="26" t="s">
        <v>465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</row>
    <row r="15" customFormat="false" ht="39.75" hidden="false" customHeight="true" outlineLevel="0" collapsed="false">
      <c r="A15" s="27" t="s">
        <v>466</v>
      </c>
      <c r="B15" s="27" t="s">
        <v>463</v>
      </c>
      <c r="C15" s="27" t="s">
        <v>154</v>
      </c>
      <c r="D15" s="27" t="s">
        <v>449</v>
      </c>
      <c r="E15" s="27" t="s">
        <v>467</v>
      </c>
      <c r="F15" s="19" t="n">
        <v>330000</v>
      </c>
      <c r="G15" s="19" t="n">
        <v>287578</v>
      </c>
      <c r="H15" s="19" t="n">
        <v>329488</v>
      </c>
      <c r="I15" s="18" t="n">
        <v>0.13</v>
      </c>
      <c r="J15" s="19" t="n">
        <v>500000</v>
      </c>
      <c r="K15" s="13" t="n">
        <v>18</v>
      </c>
      <c r="L15" s="27" t="s">
        <v>145</v>
      </c>
      <c r="M15" s="26" t="s">
        <v>468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</row>
    <row r="17" customFormat="false" ht="35.05" hidden="false" customHeight="false" outlineLevel="0" collapsed="false">
      <c r="A17" s="12" t="s">
        <v>469</v>
      </c>
      <c r="B17" s="12" t="s">
        <v>39</v>
      </c>
      <c r="D17" s="12" t="s">
        <v>470</v>
      </c>
      <c r="E17" s="3" t="s">
        <v>471</v>
      </c>
      <c r="F17" s="3" t="s">
        <v>472</v>
      </c>
      <c r="G17" s="3" t="s">
        <v>473</v>
      </c>
      <c r="H17" s="3" t="s">
        <v>474</v>
      </c>
      <c r="I17" s="49" t="s">
        <v>475</v>
      </c>
      <c r="J17" s="49"/>
      <c r="K17" s="49"/>
      <c r="L17" s="49"/>
      <c r="M17" s="49"/>
      <c r="N17" s="49"/>
      <c r="O17" s="49"/>
      <c r="P17" s="49"/>
    </row>
    <row r="18" customFormat="false" ht="15" hidden="false" customHeight="true" outlineLevel="0" collapsed="false">
      <c r="A18" s="4" t="s">
        <v>476</v>
      </c>
      <c r="B18" s="50" t="n">
        <v>1</v>
      </c>
      <c r="D18" s="4" t="s">
        <v>477</v>
      </c>
      <c r="E18" s="19" t="n">
        <v>45000</v>
      </c>
      <c r="F18" s="19" t="n">
        <v>58000</v>
      </c>
      <c r="G18" s="19" t="n">
        <v>52000</v>
      </c>
      <c r="H18" s="19" t="n">
        <v>68000</v>
      </c>
      <c r="I18" s="48" t="s">
        <v>478</v>
      </c>
      <c r="J18" s="48"/>
      <c r="K18" s="48"/>
      <c r="L18" s="48"/>
      <c r="M18" s="48"/>
      <c r="N18" s="48"/>
      <c r="O18" s="48"/>
      <c r="P18" s="48"/>
    </row>
    <row r="19" customFormat="false" ht="15" hidden="false" customHeight="false" outlineLevel="0" collapsed="false">
      <c r="A19" s="4" t="s">
        <v>479</v>
      </c>
      <c r="B19" s="50" t="n">
        <v>1.25</v>
      </c>
      <c r="D19" s="4" t="s">
        <v>480</v>
      </c>
      <c r="E19" s="19" t="n">
        <v>36000</v>
      </c>
      <c r="F19" s="19" t="n">
        <v>46000</v>
      </c>
      <c r="G19" s="19" t="n">
        <v>42000</v>
      </c>
      <c r="H19" s="19" t="n">
        <v>54000</v>
      </c>
      <c r="I19" s="48"/>
      <c r="J19" s="48"/>
      <c r="K19" s="48"/>
      <c r="L19" s="48"/>
      <c r="M19" s="48"/>
      <c r="N19" s="48"/>
      <c r="O19" s="48"/>
      <c r="P19" s="48"/>
    </row>
    <row r="20" customFormat="false" ht="15" hidden="false" customHeight="false" outlineLevel="0" collapsed="false">
      <c r="D20" s="4" t="s">
        <v>481</v>
      </c>
      <c r="E20" s="19" t="n">
        <v>42000</v>
      </c>
      <c r="F20" s="19" t="n">
        <v>55000</v>
      </c>
      <c r="G20" s="19" t="n">
        <v>48000</v>
      </c>
      <c r="H20" s="19" t="n">
        <v>62000</v>
      </c>
      <c r="I20" s="48"/>
      <c r="J20" s="48"/>
      <c r="K20" s="48"/>
      <c r="L20" s="48"/>
      <c r="M20" s="48"/>
      <c r="N20" s="48"/>
      <c r="O20" s="48"/>
      <c r="P20" s="48"/>
    </row>
    <row r="21" customFormat="false" ht="15" hidden="false" customHeight="false" outlineLevel="0" collapsed="false">
      <c r="D21" s="4" t="s">
        <v>482</v>
      </c>
      <c r="E21" s="19" t="n">
        <v>34000</v>
      </c>
      <c r="F21" s="19" t="n">
        <v>46000</v>
      </c>
      <c r="G21" s="19" t="n">
        <v>40000</v>
      </c>
      <c r="H21" s="19" t="n">
        <v>54000</v>
      </c>
      <c r="I21" s="48"/>
      <c r="J21" s="48"/>
      <c r="K21" s="48"/>
      <c r="L21" s="48"/>
      <c r="M21" s="48"/>
      <c r="N21" s="48"/>
      <c r="O21" s="48"/>
      <c r="P21" s="48"/>
    </row>
    <row r="22" customFormat="false" ht="15" hidden="false" customHeight="false" outlineLevel="0" collapsed="false">
      <c r="D22" s="4" t="s">
        <v>483</v>
      </c>
      <c r="E22" s="19" t="n">
        <v>50000</v>
      </c>
      <c r="F22" s="19" t="n">
        <v>65000</v>
      </c>
      <c r="G22" s="19" t="n">
        <v>58000</v>
      </c>
      <c r="H22" s="19" t="n">
        <v>75000</v>
      </c>
      <c r="I22" s="48"/>
      <c r="J22" s="48"/>
      <c r="K22" s="48"/>
      <c r="L22" s="48"/>
      <c r="M22" s="48"/>
      <c r="N22" s="48"/>
      <c r="O22" s="48"/>
      <c r="P22" s="48"/>
    </row>
    <row r="23" customFormat="false" ht="15" hidden="false" customHeight="false" outlineLevel="0" collapsed="false">
      <c r="D23" s="4" t="s">
        <v>484</v>
      </c>
      <c r="E23" s="19" t="n">
        <v>45000</v>
      </c>
      <c r="F23" s="19" t="n">
        <v>60000</v>
      </c>
      <c r="G23" s="19" t="n">
        <v>52000</v>
      </c>
      <c r="H23" s="19" t="n">
        <v>70000</v>
      </c>
      <c r="I23" s="48"/>
      <c r="J23" s="48"/>
      <c r="K23" s="48"/>
      <c r="L23" s="48"/>
      <c r="M23" s="48"/>
      <c r="N23" s="48"/>
      <c r="O23" s="48"/>
      <c r="P23" s="48"/>
    </row>
    <row r="24" customFormat="false" ht="15" hidden="false" customHeight="false" outlineLevel="0" collapsed="false">
      <c r="D24" s="4" t="s">
        <v>485</v>
      </c>
      <c r="E24" s="19" t="n">
        <v>45000</v>
      </c>
      <c r="F24" s="19" t="n">
        <v>55000</v>
      </c>
      <c r="G24" s="19" t="n">
        <v>52000</v>
      </c>
      <c r="H24" s="19" t="n">
        <v>65000</v>
      </c>
      <c r="I24" s="48"/>
      <c r="J24" s="48"/>
      <c r="K24" s="48"/>
      <c r="L24" s="48"/>
      <c r="M24" s="48"/>
      <c r="N24" s="48"/>
      <c r="O24" s="48"/>
      <c r="P24" s="48"/>
    </row>
    <row r="25" customFormat="false" ht="15" hidden="false" customHeight="false" outlineLevel="0" collapsed="false">
      <c r="D25" s="4" t="s">
        <v>486</v>
      </c>
      <c r="E25" s="19" t="n">
        <v>42000</v>
      </c>
      <c r="F25" s="19" t="n">
        <v>52000</v>
      </c>
      <c r="G25" s="19" t="n">
        <v>48000</v>
      </c>
      <c r="H25" s="19" t="n">
        <v>60000</v>
      </c>
      <c r="I25" s="48"/>
      <c r="J25" s="48"/>
      <c r="K25" s="48"/>
      <c r="L25" s="48"/>
      <c r="M25" s="48"/>
      <c r="N25" s="48"/>
      <c r="O25" s="48"/>
      <c r="P25" s="48"/>
    </row>
    <row r="27" customFormat="false" ht="42" hidden="false" customHeight="true" outlineLevel="0" collapsed="false">
      <c r="A27" s="3" t="s">
        <v>3</v>
      </c>
      <c r="B27" s="3" t="s">
        <v>4</v>
      </c>
      <c r="C27" s="3" t="s">
        <v>113</v>
      </c>
      <c r="D27" s="3" t="s">
        <v>487</v>
      </c>
      <c r="E27" s="3" t="s">
        <v>114</v>
      </c>
      <c r="F27" s="3" t="s">
        <v>488</v>
      </c>
      <c r="G27" s="3" t="s">
        <v>489</v>
      </c>
      <c r="H27" s="3" t="s">
        <v>490</v>
      </c>
      <c r="I27" s="3" t="s">
        <v>491</v>
      </c>
      <c r="J27" s="3" t="s">
        <v>116</v>
      </c>
      <c r="K27" s="3" t="s">
        <v>137</v>
      </c>
      <c r="L27" s="3" t="s">
        <v>492</v>
      </c>
      <c r="M27" s="3" t="s">
        <v>493</v>
      </c>
      <c r="N27" s="3" t="s">
        <v>494</v>
      </c>
      <c r="O27" s="3" t="s">
        <v>495</v>
      </c>
      <c r="P27" s="3" t="s">
        <v>496</v>
      </c>
      <c r="Q27" s="3" t="s">
        <v>122</v>
      </c>
      <c r="R27" s="3" t="s">
        <v>121</v>
      </c>
      <c r="S27" s="3" t="s">
        <v>497</v>
      </c>
      <c r="T27" s="24" t="s">
        <v>413</v>
      </c>
      <c r="U27" s="24" t="s">
        <v>415</v>
      </c>
      <c r="V27" s="24" t="s">
        <v>127</v>
      </c>
      <c r="W27" s="24" t="s">
        <v>7</v>
      </c>
      <c r="X27" s="24" t="s">
        <v>498</v>
      </c>
      <c r="Y27" s="24" t="s">
        <v>499</v>
      </c>
      <c r="Z27" s="24" t="s">
        <v>10</v>
      </c>
      <c r="AA27" s="24" t="s">
        <v>500</v>
      </c>
      <c r="AB27" s="24" t="s">
        <v>501</v>
      </c>
      <c r="AC27" s="24" t="s">
        <v>502</v>
      </c>
      <c r="AD27" s="24" t="s">
        <v>503</v>
      </c>
      <c r="AE27" s="3" t="s">
        <v>504</v>
      </c>
    </row>
    <row r="28" customFormat="false" ht="35.05" hidden="false" customHeight="false" outlineLevel="0" collapsed="false">
      <c r="A28" s="51" t="s">
        <v>505</v>
      </c>
      <c r="B28" s="27" t="s">
        <v>331</v>
      </c>
      <c r="C28" s="27" t="s">
        <v>85</v>
      </c>
      <c r="D28" s="27" t="s">
        <v>485</v>
      </c>
      <c r="E28" s="27" t="s">
        <v>506</v>
      </c>
      <c r="F28" s="27" t="n">
        <v>4</v>
      </c>
      <c r="G28" s="27" t="n">
        <v>2</v>
      </c>
      <c r="H28" s="52" t="n">
        <v>1828</v>
      </c>
      <c r="I28" s="13" t="n">
        <v>2016</v>
      </c>
      <c r="J28" s="19" t="n">
        <v>424900</v>
      </c>
      <c r="K28" s="13" t="n">
        <v>109</v>
      </c>
      <c r="L28" s="27" t="s">
        <v>507</v>
      </c>
      <c r="M28" s="19" t="n">
        <v>357000</v>
      </c>
      <c r="N28" s="19" t="n">
        <v>412052</v>
      </c>
      <c r="O28" s="27" t="s">
        <v>458</v>
      </c>
      <c r="P28" s="27" t="s">
        <v>154</v>
      </c>
      <c r="Q28" s="27" t="s">
        <v>145</v>
      </c>
      <c r="R28" s="27" t="s">
        <v>69</v>
      </c>
      <c r="S28" s="27" t="s">
        <v>508</v>
      </c>
      <c r="T28" s="28" t="n">
        <f aca="false">Assumptions!$C$15</f>
        <v>0.25</v>
      </c>
      <c r="U28" s="21" t="n">
        <f aca="false">J28*(1-T28)</f>
        <v>318675</v>
      </c>
      <c r="V28" s="29" t="n">
        <f aca="false">IF((1-T28)&gt;0.75,Assumptions!$C$11,IF((1-T28)&gt;0.7,Assumptions!$C$12,Assumptions!$C$13))</f>
        <v>0.0725</v>
      </c>
      <c r="W28" s="21" t="n">
        <f aca="false">PMT(V28/12,Assumptions!$C$14,-U28)+J28*INDEX(Assumptions!$C$28:$C$34,MATCH(C28,Assumptions!$B$28:$B$34,0))/12+(INDEX(Assumptions!$D$28:$D$34,MATCH(C28,Assumptions!$B$28:$B$34,0))+INDEX(Assumptions!$C$22:$C$25,MATCH(R28,Assumptions!$B$22:$B$25,0)))/12</f>
        <v>3442.5335938024</v>
      </c>
      <c r="X28" s="21" t="n">
        <f aca="false">W28*12*$B$18/Assumptions!$C$18</f>
        <v>51638.003907036</v>
      </c>
      <c r="Y28" s="21" t="n">
        <f aca="false">W28*12*$B$19/Assumptions!$C$18</f>
        <v>64547.504883795</v>
      </c>
      <c r="Z28" s="21" t="n">
        <f aca="false">J28*(T28+Assumptions!$C$16)</f>
        <v>123221</v>
      </c>
      <c r="AA28" s="53" t="n">
        <f aca="false">IF(ISNUMBER(F28),F28,IF(H28&gt;=2000,4,3))</f>
        <v>4</v>
      </c>
      <c r="AB28" s="21" t="n">
        <f aca="false">IFERROR(INDEX($E$18:$H$25,MATCH(D28,$D$18:$D$25,0),1+IF(AA28&gt;=4,2,0)+IF(Q28="Y",1,0)),0)</f>
        <v>65000</v>
      </c>
      <c r="AC28" s="30" t="n">
        <f aca="false">IFERROR(AB28/X28,0)</f>
        <v>1.25876283128642</v>
      </c>
      <c r="AD28" s="54" t="str">
        <f aca="false">IF(ISNUMBER(SEARCH("Mobile",E28)),"EXCLUDED",IF(AB28&gt;=Y28,"PASS",IF(AB28&gt;=X28,"MARGINAL","FAIL")))</f>
        <v>PASS</v>
      </c>
      <c r="AE28" s="26" t="s">
        <v>509</v>
      </c>
    </row>
    <row r="29" customFormat="false" ht="35.05" hidden="false" customHeight="false" outlineLevel="0" collapsed="false">
      <c r="A29" s="36" t="s">
        <v>510</v>
      </c>
      <c r="B29" s="36" t="s">
        <v>338</v>
      </c>
      <c r="C29" s="36" t="s">
        <v>85</v>
      </c>
      <c r="D29" s="36" t="s">
        <v>485</v>
      </c>
      <c r="E29" s="36" t="s">
        <v>506</v>
      </c>
      <c r="F29" s="36" t="n">
        <v>4</v>
      </c>
      <c r="G29" s="36" t="n">
        <v>2</v>
      </c>
      <c r="H29" s="55" t="n">
        <v>2051</v>
      </c>
      <c r="I29" s="34" t="n">
        <v>1989</v>
      </c>
      <c r="J29" s="37" t="n">
        <v>429900</v>
      </c>
      <c r="K29" s="34" t="n">
        <v>3</v>
      </c>
      <c r="L29" s="36" t="s">
        <v>511</v>
      </c>
      <c r="M29" s="37" t="n">
        <v>134900</v>
      </c>
      <c r="N29" s="37" t="n">
        <v>415242</v>
      </c>
      <c r="O29" s="36" t="s">
        <v>458</v>
      </c>
      <c r="P29" s="36" t="s">
        <v>154</v>
      </c>
      <c r="Q29" s="36" t="s">
        <v>145</v>
      </c>
      <c r="R29" s="36" t="s">
        <v>69</v>
      </c>
      <c r="S29" s="36" t="s">
        <v>508</v>
      </c>
      <c r="T29" s="39" t="n">
        <f aca="false">Assumptions!$C$15</f>
        <v>0.25</v>
      </c>
      <c r="U29" s="40" t="n">
        <f aca="false">J29*(1-T29)</f>
        <v>322425</v>
      </c>
      <c r="V29" s="41" t="n">
        <f aca="false">IF((1-T29)&gt;0.75,Assumptions!$C$11,IF((1-T29)&gt;0.7,Assumptions!$C$12,Assumptions!$C$13))</f>
        <v>0.0725</v>
      </c>
      <c r="W29" s="40" t="n">
        <f aca="false">PMT(V29/12,Assumptions!$C$14,-U29)+J29*INDEX(Assumptions!$C$28:$C$34,MATCH(C29,Assumptions!$B$28:$B$34,0))/12+(INDEX(Assumptions!$D$28:$D$34,MATCH(C29,Assumptions!$B$28:$B$34,0))+INDEX(Assumptions!$C$22:$C$25,MATCH(R29,Assumptions!$B$22:$B$25,0)))/12</f>
        <v>3475.19853763784</v>
      </c>
      <c r="X29" s="40" t="n">
        <f aca="false">W29*12*$B$18/Assumptions!$C$18</f>
        <v>52127.9780645676</v>
      </c>
      <c r="Y29" s="40" t="n">
        <f aca="false">W29*12*$B$19/Assumptions!$C$18</f>
        <v>65159.9725807096</v>
      </c>
      <c r="Z29" s="40" t="n">
        <f aca="false">J29*(T29+Assumptions!$C$16)</f>
        <v>124671</v>
      </c>
      <c r="AA29" s="56" t="n">
        <f aca="false">IF(ISNUMBER(F29),F29,IF(H29&gt;=2000,4,3))</f>
        <v>4</v>
      </c>
      <c r="AB29" s="40" t="n">
        <f aca="false">IFERROR(INDEX($E$18:$H$25,MATCH(D29,$D$18:$D$25,0),1+IF(AA29&gt;=4,2,0)+IF(Q29="Y",1,0)),0)</f>
        <v>65000</v>
      </c>
      <c r="AC29" s="42" t="n">
        <f aca="false">IFERROR(AB29/X29,0)</f>
        <v>1.24693115699766</v>
      </c>
      <c r="AD29" s="57" t="str">
        <f aca="false">IF(ISNUMBER(SEARCH("Mobile",E29)),"EXCLUDED",IF(AB29&gt;=Y29,"PASS",IF(AB29&gt;=X29,"MARGINAL","FAIL")))</f>
        <v>MARGINAL</v>
      </c>
      <c r="AE29" s="35" t="s">
        <v>512</v>
      </c>
    </row>
    <row r="30" customFormat="false" ht="35.05" hidden="false" customHeight="false" outlineLevel="0" collapsed="false">
      <c r="A30" s="27" t="s">
        <v>513</v>
      </c>
      <c r="B30" s="27" t="s">
        <v>514</v>
      </c>
      <c r="C30" s="27" t="s">
        <v>82</v>
      </c>
      <c r="D30" s="27" t="s">
        <v>481</v>
      </c>
      <c r="E30" s="27" t="s">
        <v>506</v>
      </c>
      <c r="F30" s="27" t="n">
        <v>3</v>
      </c>
      <c r="G30" s="27" t="n">
        <v>2</v>
      </c>
      <c r="H30" s="52" t="n">
        <v>1657</v>
      </c>
      <c r="I30" s="13" t="n">
        <v>1957</v>
      </c>
      <c r="J30" s="19" t="n">
        <v>375000</v>
      </c>
      <c r="K30" s="13" t="n">
        <v>37</v>
      </c>
      <c r="L30" s="27"/>
      <c r="M30" s="19"/>
      <c r="N30" s="19" t="n">
        <v>371347</v>
      </c>
      <c r="O30" s="27" t="s">
        <v>515</v>
      </c>
      <c r="P30" s="27" t="s">
        <v>154</v>
      </c>
      <c r="Q30" s="27" t="s">
        <v>154</v>
      </c>
      <c r="R30" s="27" t="s">
        <v>69</v>
      </c>
      <c r="S30" s="27" t="s">
        <v>516</v>
      </c>
      <c r="T30" s="28" t="n">
        <f aca="false">Assumptions!$C$15</f>
        <v>0.25</v>
      </c>
      <c r="U30" s="21" t="n">
        <f aca="false">J30*(1-T30)</f>
        <v>281250</v>
      </c>
      <c r="V30" s="29" t="n">
        <f aca="false">IF((1-T30)&gt;0.75,Assumptions!$C$11,IF((1-T30)&gt;0.7,Assumptions!$C$12,Assumptions!$C$13))</f>
        <v>0.0725</v>
      </c>
      <c r="W30" s="21" t="n">
        <f aca="false">PMT(V30/12,Assumptions!$C$14,-U30)+J30*INDEX(Assumptions!$C$28:$C$34,MATCH(C30,Assumptions!$B$28:$B$34,0))/12+(INDEX(Assumptions!$D$28:$D$34,MATCH(C30,Assumptions!$B$28:$B$34,0))+INDEX(Assumptions!$C$22:$C$25,MATCH(R30,Assumptions!$B$22:$B$25,0)))/12</f>
        <v>3007.16245432471</v>
      </c>
      <c r="X30" s="21" t="n">
        <f aca="false">W30*12*$B$18/Assumptions!$C$18</f>
        <v>45107.4368148706</v>
      </c>
      <c r="Y30" s="21" t="n">
        <f aca="false">W30*12*$B$19/Assumptions!$C$18</f>
        <v>56384.2960185883</v>
      </c>
      <c r="Z30" s="21" t="n">
        <f aca="false">J30*(T30+Assumptions!$C$16)</f>
        <v>108750</v>
      </c>
      <c r="AA30" s="53" t="n">
        <f aca="false">IF(ISNUMBER(F30),F30,IF(H30&gt;=2000,4,3))</f>
        <v>3</v>
      </c>
      <c r="AB30" s="21" t="n">
        <f aca="false">IFERROR(INDEX($E$18:$H$25,MATCH(D30,$D$18:$D$25,0),1+IF(AA30&gt;=4,2,0)+IF(Q30="Y",1,0)),0)</f>
        <v>42000</v>
      </c>
      <c r="AC30" s="30" t="n">
        <f aca="false">IFERROR(AB30/X30,0)</f>
        <v>0.931110321616719</v>
      </c>
      <c r="AD30" s="4" t="str">
        <f aca="false">IF(ISNUMBER(SEARCH("Mobile",E30)),"EXCLUDED",IF(AB30&gt;=Y30,"PASS",IF(AB30&gt;=X30,"MARGINAL","FAIL")))</f>
        <v>FAIL</v>
      </c>
      <c r="AE30" s="26" t="s">
        <v>517</v>
      </c>
    </row>
    <row r="31" customFormat="false" ht="46.25" hidden="false" customHeight="false" outlineLevel="0" collapsed="false">
      <c r="A31" s="51" t="s">
        <v>518</v>
      </c>
      <c r="B31" s="36" t="s">
        <v>310</v>
      </c>
      <c r="C31" s="36" t="s">
        <v>18</v>
      </c>
      <c r="D31" s="36" t="s">
        <v>484</v>
      </c>
      <c r="E31" s="36" t="s">
        <v>506</v>
      </c>
      <c r="F31" s="36"/>
      <c r="G31" s="36" t="n">
        <v>2</v>
      </c>
      <c r="H31" s="55" t="n">
        <v>2411</v>
      </c>
      <c r="I31" s="34" t="n">
        <v>1976</v>
      </c>
      <c r="J31" s="37" t="n">
        <v>499000</v>
      </c>
      <c r="K31" s="34" t="n">
        <v>104</v>
      </c>
      <c r="L31" s="36" t="s">
        <v>519</v>
      </c>
      <c r="M31" s="37" t="n">
        <v>9500</v>
      </c>
      <c r="N31" s="37" t="n">
        <v>520043</v>
      </c>
      <c r="O31" s="36" t="s">
        <v>453</v>
      </c>
      <c r="P31" s="36" t="s">
        <v>154</v>
      </c>
      <c r="Q31" s="36" t="s">
        <v>145</v>
      </c>
      <c r="R31" s="36" t="s">
        <v>69</v>
      </c>
      <c r="S31" s="36" t="s">
        <v>520</v>
      </c>
      <c r="T31" s="39" t="n">
        <f aca="false">Assumptions!$C$15</f>
        <v>0.25</v>
      </c>
      <c r="U31" s="40" t="n">
        <f aca="false">J31*(1-T31)</f>
        <v>374250</v>
      </c>
      <c r="V31" s="41" t="n">
        <f aca="false">IF((1-T31)&gt;0.75,Assumptions!$C$11,IF((1-T31)&gt;0.7,Assumptions!$C$12,Assumptions!$C$13))</f>
        <v>0.0725</v>
      </c>
      <c r="W31" s="40" t="n">
        <f aca="false">PMT(V31/12,Assumptions!$C$14,-U31)+J31*INDEX(Assumptions!$C$28:$C$34,MATCH(C31,Assumptions!$B$28:$B$34,0))/12+(INDEX(Assumptions!$D$28:$D$34,MATCH(C31,Assumptions!$B$28:$B$34,0))+INDEX(Assumptions!$C$22:$C$25,MATCH(R31,Assumptions!$B$22:$B$25,0)))/12</f>
        <v>3885.0447281103</v>
      </c>
      <c r="X31" s="40" t="n">
        <f aca="false">W31*12*$B$18/Assumptions!$C$18</f>
        <v>58275.6709216545</v>
      </c>
      <c r="Y31" s="40" t="n">
        <f aca="false">W31*12*$B$19/Assumptions!$C$18</f>
        <v>72844.5886520681</v>
      </c>
      <c r="Z31" s="40" t="n">
        <f aca="false">J31*(T31+Assumptions!$C$16)</f>
        <v>144710</v>
      </c>
      <c r="AA31" s="56" t="n">
        <f aca="false">IF(ISNUMBER(F31),F31,IF(H31&gt;=2000,4,3))</f>
        <v>4</v>
      </c>
      <c r="AB31" s="40" t="n">
        <f aca="false">IFERROR(INDEX($E$18:$H$25,MATCH(D31,$D$18:$D$25,0),1+IF(AA31&gt;=4,2,0)+IF(Q31="Y",1,0)),0)</f>
        <v>70000</v>
      </c>
      <c r="AC31" s="42" t="n">
        <f aca="false">IFERROR(AB31/X31,0)</f>
        <v>1.20118737189843</v>
      </c>
      <c r="AD31" s="54" t="str">
        <f aca="false">IF(ISNUMBER(SEARCH("Mobile",E31)),"EXCLUDED",IF(AB31&gt;=Y31,"PASS",IF(AB31&gt;=X31,"MARGINAL","FAIL")))</f>
        <v>MARGINAL</v>
      </c>
      <c r="AE31" s="35" t="s">
        <v>521</v>
      </c>
    </row>
    <row r="32" customFormat="false" ht="46.25" hidden="false" customHeight="false" outlineLevel="0" collapsed="false">
      <c r="A32" s="27" t="s">
        <v>522</v>
      </c>
      <c r="B32" s="27" t="s">
        <v>288</v>
      </c>
      <c r="C32" s="27" t="s">
        <v>18</v>
      </c>
      <c r="D32" s="27" t="s">
        <v>484</v>
      </c>
      <c r="E32" s="27" t="s">
        <v>506</v>
      </c>
      <c r="F32" s="27"/>
      <c r="G32" s="27" t="n">
        <v>2</v>
      </c>
      <c r="H32" s="52" t="n">
        <v>1970</v>
      </c>
      <c r="I32" s="13" t="n">
        <v>1971</v>
      </c>
      <c r="J32" s="19" t="n">
        <v>424900</v>
      </c>
      <c r="K32" s="13" t="n">
        <v>803</v>
      </c>
      <c r="L32" s="27" t="s">
        <v>523</v>
      </c>
      <c r="M32" s="19" t="n">
        <v>18100</v>
      </c>
      <c r="N32" s="19" t="n">
        <v>420474</v>
      </c>
      <c r="O32" s="27" t="s">
        <v>458</v>
      </c>
      <c r="P32" s="27" t="s">
        <v>154</v>
      </c>
      <c r="Q32" s="27" t="s">
        <v>145</v>
      </c>
      <c r="R32" s="27" t="s">
        <v>69</v>
      </c>
      <c r="S32" s="27" t="s">
        <v>520</v>
      </c>
      <c r="T32" s="28" t="n">
        <f aca="false">Assumptions!$C$15</f>
        <v>0.25</v>
      </c>
      <c r="U32" s="21" t="n">
        <f aca="false">J32*(1-T32)</f>
        <v>318675</v>
      </c>
      <c r="V32" s="29" t="n">
        <f aca="false">IF((1-T32)&gt;0.75,Assumptions!$C$11,IF((1-T32)&gt;0.7,Assumptions!$C$12,Assumptions!$C$13))</f>
        <v>0.0725</v>
      </c>
      <c r="W32" s="21" t="n">
        <f aca="false">PMT(V32/12,Assumptions!$C$14,-U32)+J32*INDEX(Assumptions!$C$28:$C$34,MATCH(C32,Assumptions!$B$28:$B$34,0))/12+(INDEX(Assumptions!$D$28:$D$34,MATCH(C32,Assumptions!$B$28:$B$34,0))+INDEX(Assumptions!$C$22:$C$25,MATCH(R32,Assumptions!$B$22:$B$25,0)))/12</f>
        <v>3407.12526046907</v>
      </c>
      <c r="X32" s="21" t="n">
        <f aca="false">W32*12*$B$18/Assumptions!$C$18</f>
        <v>51106.878907036</v>
      </c>
      <c r="Y32" s="21" t="n">
        <f aca="false">W32*12*$B$19/Assumptions!$C$18</f>
        <v>63883.598633795</v>
      </c>
      <c r="Z32" s="21" t="n">
        <f aca="false">J32*(T32+Assumptions!$C$16)</f>
        <v>123221</v>
      </c>
      <c r="AA32" s="53" t="n">
        <f aca="false">IF(ISNUMBER(F32),F32,IF(H32&gt;=2000,4,3))</f>
        <v>3</v>
      </c>
      <c r="AB32" s="21" t="n">
        <f aca="false">IFERROR(INDEX($E$18:$H$25,MATCH(D32,$D$18:$D$25,0),1+IF(AA32&gt;=4,2,0)+IF(Q32="Y",1,0)),0)</f>
        <v>60000</v>
      </c>
      <c r="AC32" s="30" t="n">
        <f aca="false">IFERROR(AB32/X32,0)</f>
        <v>1.17401025621503</v>
      </c>
      <c r="AD32" s="4" t="str">
        <f aca="false">IF(ISNUMBER(SEARCH("Mobile",E32)),"EXCLUDED",IF(AB32&gt;=Y32,"PASS",IF(AB32&gt;=X32,"MARGINAL","FAIL")))</f>
        <v>MARGINAL</v>
      </c>
      <c r="AE32" s="26" t="s">
        <v>524</v>
      </c>
    </row>
    <row r="33" customFormat="false" ht="35.05" hidden="false" customHeight="false" outlineLevel="0" collapsed="false">
      <c r="A33" s="36" t="s">
        <v>525</v>
      </c>
      <c r="B33" s="36" t="s">
        <v>158</v>
      </c>
      <c r="C33" s="36" t="s">
        <v>80</v>
      </c>
      <c r="D33" s="36" t="s">
        <v>477</v>
      </c>
      <c r="E33" s="36" t="s">
        <v>506</v>
      </c>
      <c r="F33" s="36" t="n">
        <v>3</v>
      </c>
      <c r="G33" s="36" t="n">
        <v>2</v>
      </c>
      <c r="H33" s="55" t="n">
        <v>1796</v>
      </c>
      <c r="I33" s="34" t="n">
        <v>1973</v>
      </c>
      <c r="J33" s="37" t="n">
        <v>424900</v>
      </c>
      <c r="K33" s="34" t="n">
        <v>82</v>
      </c>
      <c r="L33" s="36" t="s">
        <v>526</v>
      </c>
      <c r="M33" s="37" t="n">
        <v>290000</v>
      </c>
      <c r="N33" s="37" t="n">
        <v>415182</v>
      </c>
      <c r="O33" s="36" t="s">
        <v>515</v>
      </c>
      <c r="P33" s="36" t="s">
        <v>154</v>
      </c>
      <c r="Q33" s="36" t="s">
        <v>145</v>
      </c>
      <c r="R33" s="36" t="s">
        <v>69</v>
      </c>
      <c r="S33" s="36" t="s">
        <v>527</v>
      </c>
      <c r="T33" s="39" t="n">
        <f aca="false">Assumptions!$C$15</f>
        <v>0.25</v>
      </c>
      <c r="U33" s="40" t="n">
        <f aca="false">J33*(1-T33)</f>
        <v>318675</v>
      </c>
      <c r="V33" s="41" t="n">
        <f aca="false">IF((1-T33)&gt;0.75,Assumptions!$C$11,IF((1-T33)&gt;0.7,Assumptions!$C$12,Assumptions!$C$13))</f>
        <v>0.0725</v>
      </c>
      <c r="W33" s="40" t="n">
        <f aca="false">PMT(V33/12,Assumptions!$C$14,-U33)+J33*INDEX(Assumptions!$C$28:$C$34,MATCH(C33,Assumptions!$B$28:$B$34,0))/12+(INDEX(Assumptions!$D$28:$D$34,MATCH(C33,Assumptions!$B$28:$B$34,0))+INDEX(Assumptions!$C$22:$C$25,MATCH(R33,Assumptions!$B$22:$B$25,0)))/12</f>
        <v>3371.71692713574</v>
      </c>
      <c r="X33" s="40" t="n">
        <f aca="false">W33*12*$B$18/Assumptions!$C$18</f>
        <v>50575.753907036</v>
      </c>
      <c r="Y33" s="40" t="n">
        <f aca="false">W33*12*$B$19/Assumptions!$C$18</f>
        <v>63219.692383795</v>
      </c>
      <c r="Z33" s="40" t="n">
        <f aca="false">J33*(T33+Assumptions!$C$16)</f>
        <v>123221</v>
      </c>
      <c r="AA33" s="56" t="n">
        <f aca="false">IF(ISNUMBER(F33),F33,IF(H33&gt;=2000,4,3))</f>
        <v>3</v>
      </c>
      <c r="AB33" s="40" t="n">
        <f aca="false">IFERROR(INDEX($E$18:$H$25,MATCH(D33,$D$18:$D$25,0),1+IF(AA33&gt;=4,2,0)+IF(Q33="Y",1,0)),0)</f>
        <v>58000</v>
      </c>
      <c r="AC33" s="42" t="n">
        <f aca="false">IFERROR(AB33/X33,0)</f>
        <v>1.14679457090468</v>
      </c>
      <c r="AD33" s="57" t="str">
        <f aca="false">IF(ISNUMBER(SEARCH("Mobile",E33)),"EXCLUDED",IF(AB33&gt;=Y33,"PASS",IF(AB33&gt;=X33,"MARGINAL","FAIL")))</f>
        <v>MARGINAL</v>
      </c>
      <c r="AE33" s="35" t="s">
        <v>528</v>
      </c>
    </row>
    <row r="34" customFormat="false" ht="35.05" hidden="false" customHeight="false" outlineLevel="0" collapsed="false">
      <c r="A34" s="27" t="s">
        <v>529</v>
      </c>
      <c r="B34" s="27" t="s">
        <v>530</v>
      </c>
      <c r="C34" s="27" t="s">
        <v>18</v>
      </c>
      <c r="D34" s="27" t="s">
        <v>484</v>
      </c>
      <c r="E34" s="27" t="s">
        <v>506</v>
      </c>
      <c r="F34" s="27"/>
      <c r="G34" s="27" t="n">
        <v>2</v>
      </c>
      <c r="H34" s="52" t="n">
        <v>1446</v>
      </c>
      <c r="I34" s="13" t="n">
        <v>1972</v>
      </c>
      <c r="J34" s="19" t="n">
        <v>450000</v>
      </c>
      <c r="K34" s="13" t="n">
        <v>174</v>
      </c>
      <c r="L34" s="27" t="s">
        <v>531</v>
      </c>
      <c r="M34" s="19" t="n">
        <v>135000</v>
      </c>
      <c r="N34" s="19" t="n">
        <v>391862</v>
      </c>
      <c r="O34" s="27" t="s">
        <v>448</v>
      </c>
      <c r="P34" s="27" t="s">
        <v>154</v>
      </c>
      <c r="Q34" s="27" t="s">
        <v>145</v>
      </c>
      <c r="R34" s="27" t="s">
        <v>69</v>
      </c>
      <c r="S34" s="27" t="s">
        <v>532</v>
      </c>
      <c r="T34" s="28" t="n">
        <f aca="false">Assumptions!$C$15</f>
        <v>0.25</v>
      </c>
      <c r="U34" s="21" t="n">
        <f aca="false">J34*(1-T34)</f>
        <v>337500</v>
      </c>
      <c r="V34" s="29" t="n">
        <f aca="false">IF((1-T34)&gt;0.75,Assumptions!$C$11,IF((1-T34)&gt;0.7,Assumptions!$C$12,Assumptions!$C$13))</f>
        <v>0.0725</v>
      </c>
      <c r="W34" s="21" t="n">
        <f aca="false">PMT(V34/12,Assumptions!$C$14,-U34)+J34*INDEX(Assumptions!$C$28:$C$34,MATCH(C34,Assumptions!$B$28:$B$34,0))/12+(INDEX(Assumptions!$D$28:$D$34,MATCH(C34,Assumptions!$B$28:$B$34,0))+INDEX(Assumptions!$C$22:$C$25,MATCH(R34,Assumptions!$B$22:$B$25,0)))/12</f>
        <v>3569.01161185631</v>
      </c>
      <c r="X34" s="21" t="n">
        <f aca="false">W34*12*$B$18/Assumptions!$C$18</f>
        <v>53535.1741778447</v>
      </c>
      <c r="Y34" s="21" t="n">
        <f aca="false">W34*12*$B$19/Assumptions!$C$18</f>
        <v>66918.9677223059</v>
      </c>
      <c r="Z34" s="21" t="n">
        <f aca="false">J34*(T34+Assumptions!$C$16)</f>
        <v>130500</v>
      </c>
      <c r="AA34" s="53" t="n">
        <f aca="false">IF(ISNUMBER(F34),F34,IF(H34&gt;=2000,4,3))</f>
        <v>3</v>
      </c>
      <c r="AB34" s="21" t="n">
        <f aca="false">IFERROR(INDEX($E$18:$H$25,MATCH(D34,$D$18:$D$25,0),1+IF(AA34&gt;=4,2,0)+IF(Q34="Y",1,0)),0)</f>
        <v>60000</v>
      </c>
      <c r="AC34" s="30" t="n">
        <f aca="false">IFERROR(AB34/X34,0)</f>
        <v>1.12075847181666</v>
      </c>
      <c r="AD34" s="4" t="str">
        <f aca="false">IF(ISNUMBER(SEARCH("Mobile",E34)),"EXCLUDED",IF(AB34&gt;=Y34,"PASS",IF(AB34&gt;=X34,"MARGINAL","FAIL")))</f>
        <v>MARGINAL</v>
      </c>
      <c r="AE34" s="26" t="s">
        <v>533</v>
      </c>
    </row>
    <row r="35" customFormat="false" ht="35.05" hidden="false" customHeight="false" outlineLevel="0" collapsed="false">
      <c r="A35" s="36" t="s">
        <v>534</v>
      </c>
      <c r="B35" s="36" t="s">
        <v>338</v>
      </c>
      <c r="C35" s="36" t="s">
        <v>85</v>
      </c>
      <c r="D35" s="36" t="s">
        <v>485</v>
      </c>
      <c r="E35" s="36" t="s">
        <v>506</v>
      </c>
      <c r="F35" s="36" t="n">
        <v>3</v>
      </c>
      <c r="G35" s="36" t="n">
        <v>3</v>
      </c>
      <c r="H35" s="55" t="n">
        <v>1659</v>
      </c>
      <c r="I35" s="34" t="n">
        <v>1983</v>
      </c>
      <c r="J35" s="37" t="n">
        <v>399900</v>
      </c>
      <c r="K35" s="34" t="n">
        <v>26</v>
      </c>
      <c r="L35" s="36"/>
      <c r="M35" s="37"/>
      <c r="N35" s="37" t="n">
        <v>452024</v>
      </c>
      <c r="O35" s="36" t="s">
        <v>453</v>
      </c>
      <c r="P35" s="36" t="s">
        <v>154</v>
      </c>
      <c r="Q35" s="36" t="s">
        <v>145</v>
      </c>
      <c r="R35" s="36" t="s">
        <v>69</v>
      </c>
      <c r="S35" s="36" t="s">
        <v>508</v>
      </c>
      <c r="T35" s="39" t="n">
        <f aca="false">Assumptions!$C$15</f>
        <v>0.25</v>
      </c>
      <c r="U35" s="40" t="n">
        <f aca="false">J35*(1-T35)</f>
        <v>299925</v>
      </c>
      <c r="V35" s="41" t="n">
        <f aca="false">IF((1-T35)&gt;0.75,Assumptions!$C$11,IF((1-T35)&gt;0.7,Assumptions!$C$12,Assumptions!$C$13))</f>
        <v>0.0725</v>
      </c>
      <c r="W35" s="40" t="n">
        <f aca="false">PMT(V35/12,Assumptions!$C$14,-U35)+J35*INDEX(Assumptions!$C$28:$C$34,MATCH(C35,Assumptions!$B$28:$B$34,0))/12+(INDEX(Assumptions!$D$28:$D$34,MATCH(C35,Assumptions!$B$28:$B$34,0))+INDEX(Assumptions!$C$22:$C$25,MATCH(R35,Assumptions!$B$22:$B$25,0)))/12</f>
        <v>3279.2088746252</v>
      </c>
      <c r="X35" s="40" t="n">
        <f aca="false">W35*12*$B$18/Assumptions!$C$18</f>
        <v>49188.133119378</v>
      </c>
      <c r="Y35" s="40" t="n">
        <f aca="false">W35*12*$B$19/Assumptions!$C$18</f>
        <v>61485.1663992225</v>
      </c>
      <c r="Z35" s="40" t="n">
        <f aca="false">J35*(T35+Assumptions!$C$16)</f>
        <v>115971</v>
      </c>
      <c r="AA35" s="56" t="n">
        <f aca="false">IF(ISNUMBER(F35),F35,IF(H35&gt;=2000,4,3))</f>
        <v>3</v>
      </c>
      <c r="AB35" s="40" t="n">
        <f aca="false">IFERROR(INDEX($E$18:$H$25,MATCH(D35,$D$18:$D$25,0),1+IF(AA35&gt;=4,2,0)+IF(Q35="Y",1,0)),0)</f>
        <v>55000</v>
      </c>
      <c r="AC35" s="42" t="n">
        <f aca="false">IFERROR(AB35/X35,0)</f>
        <v>1.11815587443656</v>
      </c>
      <c r="AD35" s="57" t="str">
        <f aca="false">IF(ISNUMBER(SEARCH("Mobile",E35)),"EXCLUDED",IF(AB35&gt;=Y35,"PASS",IF(AB35&gt;=X35,"MARGINAL","FAIL")))</f>
        <v>MARGINAL</v>
      </c>
      <c r="AE35" s="35" t="s">
        <v>535</v>
      </c>
    </row>
    <row r="36" customFormat="false" ht="35.05" hidden="false" customHeight="false" outlineLevel="0" collapsed="false">
      <c r="A36" s="51" t="s">
        <v>536</v>
      </c>
      <c r="B36" s="27" t="s">
        <v>331</v>
      </c>
      <c r="C36" s="27" t="s">
        <v>85</v>
      </c>
      <c r="D36" s="27" t="s">
        <v>485</v>
      </c>
      <c r="E36" s="27" t="s">
        <v>506</v>
      </c>
      <c r="F36" s="27" t="n">
        <v>3</v>
      </c>
      <c r="G36" s="27" t="n">
        <v>2</v>
      </c>
      <c r="H36" s="52" t="n">
        <v>1818</v>
      </c>
      <c r="I36" s="13" t="n">
        <v>2008</v>
      </c>
      <c r="J36" s="19" t="n">
        <v>400000</v>
      </c>
      <c r="K36" s="13" t="n">
        <v>407</v>
      </c>
      <c r="L36" s="27" t="s">
        <v>537</v>
      </c>
      <c r="M36" s="19" t="n">
        <v>172500</v>
      </c>
      <c r="N36" s="19" t="n">
        <v>395026</v>
      </c>
      <c r="O36" s="27" t="s">
        <v>448</v>
      </c>
      <c r="P36" s="27" t="s">
        <v>154</v>
      </c>
      <c r="Q36" s="27" t="s">
        <v>145</v>
      </c>
      <c r="R36" s="27" t="s">
        <v>69</v>
      </c>
      <c r="S36" s="27" t="s">
        <v>508</v>
      </c>
      <c r="T36" s="28" t="n">
        <f aca="false">Assumptions!$C$15</f>
        <v>0.25</v>
      </c>
      <c r="U36" s="21" t="n">
        <f aca="false">J36*(1-T36)</f>
        <v>300000</v>
      </c>
      <c r="V36" s="29" t="n">
        <f aca="false">IF((1-T36)&gt;0.75,Assumptions!$C$11,IF((1-T36)&gt;0.7,Assumptions!$C$12,Assumptions!$C$13))</f>
        <v>0.0725</v>
      </c>
      <c r="W36" s="21" t="n">
        <f aca="false">PMT(V36/12,Assumptions!$C$14,-U36)+J36*INDEX(Assumptions!$C$28:$C$34,MATCH(C36,Assumptions!$B$28:$B$34,0))/12+(INDEX(Assumptions!$D$28:$D$34,MATCH(C36,Assumptions!$B$28:$B$34,0))+INDEX(Assumptions!$C$22:$C$25,MATCH(R36,Assumptions!$B$22:$B$25,0)))/12</f>
        <v>3279.86217350191</v>
      </c>
      <c r="X36" s="21" t="n">
        <f aca="false">W36*12*$B$18/Assumptions!$C$18</f>
        <v>49197.9326025286</v>
      </c>
      <c r="Y36" s="21" t="n">
        <f aca="false">W36*12*$B$19/Assumptions!$C$18</f>
        <v>61497.4157531608</v>
      </c>
      <c r="Z36" s="21" t="n">
        <f aca="false">J36*(T36+Assumptions!$C$16)</f>
        <v>116000</v>
      </c>
      <c r="AA36" s="53" t="n">
        <f aca="false">IF(ISNUMBER(F36),F36,IF(H36&gt;=2000,4,3))</f>
        <v>3</v>
      </c>
      <c r="AB36" s="21" t="n">
        <f aca="false">IFERROR(INDEX($E$18:$H$25,MATCH(D36,$D$18:$D$25,0),1+IF(AA36&gt;=4,2,0)+IF(Q36="Y",1,0)),0)</f>
        <v>55000</v>
      </c>
      <c r="AC36" s="30" t="n">
        <f aca="false">IFERROR(AB36/X36,0)</f>
        <v>1.11793315471905</v>
      </c>
      <c r="AD36" s="54" t="str">
        <f aca="false">IF(ISNUMBER(SEARCH("Mobile",E36)),"EXCLUDED",IF(AB36&gt;=Y36,"PASS",IF(AB36&gt;=X36,"MARGINAL","FAIL")))</f>
        <v>MARGINAL</v>
      </c>
      <c r="AE36" s="26" t="s">
        <v>538</v>
      </c>
    </row>
    <row r="37" customFormat="false" ht="35.05" hidden="false" customHeight="false" outlineLevel="0" collapsed="false">
      <c r="A37" s="36" t="s">
        <v>539</v>
      </c>
      <c r="B37" s="36" t="s">
        <v>540</v>
      </c>
      <c r="C37" s="36" t="s">
        <v>18</v>
      </c>
      <c r="D37" s="36" t="s">
        <v>484</v>
      </c>
      <c r="E37" s="36" t="s">
        <v>506</v>
      </c>
      <c r="F37" s="36"/>
      <c r="G37" s="36" t="n">
        <v>2</v>
      </c>
      <c r="H37" s="55" t="n">
        <v>2320</v>
      </c>
      <c r="I37" s="34" t="n">
        <v>1971</v>
      </c>
      <c r="J37" s="37" t="n">
        <v>545000</v>
      </c>
      <c r="K37" s="34" t="n">
        <v>26</v>
      </c>
      <c r="L37" s="36" t="s">
        <v>541</v>
      </c>
      <c r="M37" s="37" t="n">
        <v>335000</v>
      </c>
      <c r="N37" s="37" t="n">
        <v>562331</v>
      </c>
      <c r="O37" s="36" t="s">
        <v>458</v>
      </c>
      <c r="P37" s="36" t="s">
        <v>154</v>
      </c>
      <c r="Q37" s="36" t="s">
        <v>145</v>
      </c>
      <c r="R37" s="36" t="s">
        <v>69</v>
      </c>
      <c r="S37" s="36" t="s">
        <v>532</v>
      </c>
      <c r="T37" s="39" t="n">
        <f aca="false">Assumptions!$C$15</f>
        <v>0.25</v>
      </c>
      <c r="U37" s="40" t="n">
        <f aca="false">J37*(1-T37)</f>
        <v>408750</v>
      </c>
      <c r="V37" s="41" t="n">
        <f aca="false">IF((1-T37)&gt;0.75,Assumptions!$C$11,IF((1-T37)&gt;0.7,Assumptions!$C$12,Assumptions!$C$13))</f>
        <v>0.0725</v>
      </c>
      <c r="W37" s="40" t="n">
        <f aca="false">PMT(V37/12,Assumptions!$C$14,-U37)+J37*INDEX(Assumptions!$C$28:$C$34,MATCH(C37,Assumptions!$B$28:$B$34,0))/12+(INDEX(Assumptions!$D$28:$D$34,MATCH(C37,Assumptions!$B$28:$B$34,0))+INDEX(Assumptions!$C$22:$C$25,MATCH(R37,Assumptions!$B$22:$B$25,0)))/12</f>
        <v>4181.72887806302</v>
      </c>
      <c r="X37" s="40" t="n">
        <f aca="false">W37*12*$B$18/Assumptions!$C$18</f>
        <v>62725.9331709453</v>
      </c>
      <c r="Y37" s="40" t="n">
        <f aca="false">W37*12*$B$19/Assumptions!$C$18</f>
        <v>78407.4164636816</v>
      </c>
      <c r="Z37" s="40" t="n">
        <f aca="false">J37*(T37+Assumptions!$C$16)</f>
        <v>158050</v>
      </c>
      <c r="AA37" s="56" t="n">
        <f aca="false">IF(ISNUMBER(F37),F37,IF(H37&gt;=2000,4,3))</f>
        <v>4</v>
      </c>
      <c r="AB37" s="40" t="n">
        <f aca="false">IFERROR(INDEX($E$18:$H$25,MATCH(D37,$D$18:$D$25,0),1+IF(AA37&gt;=4,2,0)+IF(Q37="Y",1,0)),0)</f>
        <v>70000</v>
      </c>
      <c r="AC37" s="42" t="n">
        <f aca="false">IFERROR(AB37/X37,0)</f>
        <v>1.11596586071077</v>
      </c>
      <c r="AD37" s="57" t="str">
        <f aca="false">IF(ISNUMBER(SEARCH("Mobile",E37)),"EXCLUDED",IF(AB37&gt;=Y37,"PASS",IF(AB37&gt;=X37,"MARGINAL","FAIL")))</f>
        <v>MARGINAL</v>
      </c>
      <c r="AE37" s="35" t="s">
        <v>542</v>
      </c>
    </row>
    <row r="38" customFormat="false" ht="23.85" hidden="false" customHeight="false" outlineLevel="0" collapsed="false">
      <c r="A38" s="27" t="s">
        <v>543</v>
      </c>
      <c r="B38" s="27" t="s">
        <v>544</v>
      </c>
      <c r="C38" s="27" t="s">
        <v>18</v>
      </c>
      <c r="D38" s="27" t="s">
        <v>484</v>
      </c>
      <c r="E38" s="27" t="s">
        <v>506</v>
      </c>
      <c r="F38" s="27"/>
      <c r="G38" s="27" t="n">
        <v>2</v>
      </c>
      <c r="H38" s="52" t="n">
        <v>1456</v>
      </c>
      <c r="I38" s="13" t="n">
        <v>1984</v>
      </c>
      <c r="J38" s="19" t="n">
        <v>475000</v>
      </c>
      <c r="K38" s="13" t="n">
        <v>103</v>
      </c>
      <c r="L38" s="27" t="s">
        <v>545</v>
      </c>
      <c r="M38" s="19" t="n">
        <v>404000</v>
      </c>
      <c r="N38" s="19" t="n">
        <v>328744</v>
      </c>
      <c r="O38" s="27" t="s">
        <v>453</v>
      </c>
      <c r="P38" s="27" t="s">
        <v>154</v>
      </c>
      <c r="Q38" s="27" t="s">
        <v>145</v>
      </c>
      <c r="R38" s="27" t="s">
        <v>69</v>
      </c>
      <c r="S38" s="27" t="s">
        <v>520</v>
      </c>
      <c r="T38" s="28" t="n">
        <f aca="false">Assumptions!$C$15</f>
        <v>0.25</v>
      </c>
      <c r="U38" s="21" t="n">
        <f aca="false">J38*(1-T38)</f>
        <v>356250</v>
      </c>
      <c r="V38" s="29" t="n">
        <f aca="false">IF((1-T38)&gt;0.75,Assumptions!$C$11,IF((1-T38)&gt;0.7,Assumptions!$C$12,Assumptions!$C$13))</f>
        <v>0.0725</v>
      </c>
      <c r="W38" s="21" t="n">
        <f aca="false">PMT(V38/12,Assumptions!$C$14,-U38)+J38*INDEX(Assumptions!$C$28:$C$34,MATCH(C38,Assumptions!$B$28:$B$34,0))/12+(INDEX(Assumptions!$D$28:$D$34,MATCH(C38,Assumptions!$B$28:$B$34,0))+INDEX(Assumptions!$C$22:$C$25,MATCH(R38,Assumptions!$B$22:$B$25,0)))/12</f>
        <v>3730.25299770018</v>
      </c>
      <c r="X38" s="21" t="n">
        <f aca="false">W38*12*$B$18/Assumptions!$C$18</f>
        <v>55953.7949655028</v>
      </c>
      <c r="Y38" s="21" t="n">
        <f aca="false">W38*12*$B$19/Assumptions!$C$18</f>
        <v>69942.2437068784</v>
      </c>
      <c r="Z38" s="21" t="n">
        <f aca="false">J38*(T38+Assumptions!$C$16)</f>
        <v>137750</v>
      </c>
      <c r="AA38" s="53" t="n">
        <f aca="false">IF(ISNUMBER(F38),F38,IF(H38&gt;=2000,4,3))</f>
        <v>3</v>
      </c>
      <c r="AB38" s="21" t="n">
        <f aca="false">IFERROR(INDEX($E$18:$H$25,MATCH(D38,$D$18:$D$25,0),1+IF(AA38&gt;=4,2,0)+IF(Q38="Y",1,0)),0)</f>
        <v>60000</v>
      </c>
      <c r="AC38" s="30" t="n">
        <f aca="false">IFERROR(AB38/X38,0)</f>
        <v>1.07231332632562</v>
      </c>
      <c r="AD38" s="4" t="str">
        <f aca="false">IF(ISNUMBER(SEARCH("Mobile",E38)),"EXCLUDED",IF(AB38&gt;=Y38,"PASS",IF(AB38&gt;=X38,"MARGINAL","FAIL")))</f>
        <v>MARGINAL</v>
      </c>
      <c r="AE38" s="26" t="s">
        <v>546</v>
      </c>
    </row>
    <row r="39" customFormat="false" ht="35.05" hidden="false" customHeight="false" outlineLevel="0" collapsed="false">
      <c r="A39" s="36" t="s">
        <v>547</v>
      </c>
      <c r="B39" s="36" t="s">
        <v>548</v>
      </c>
      <c r="C39" s="36" t="s">
        <v>18</v>
      </c>
      <c r="D39" s="36" t="s">
        <v>484</v>
      </c>
      <c r="E39" s="36" t="s">
        <v>506</v>
      </c>
      <c r="F39" s="36"/>
      <c r="G39" s="36" t="n">
        <v>2</v>
      </c>
      <c r="H39" s="55" t="n">
        <v>1596</v>
      </c>
      <c r="I39" s="34" t="n">
        <v>1961</v>
      </c>
      <c r="J39" s="37" t="n">
        <v>475300</v>
      </c>
      <c r="K39" s="34" t="n">
        <v>51</v>
      </c>
      <c r="L39" s="36" t="s">
        <v>549</v>
      </c>
      <c r="M39" s="37" t="n">
        <v>403500</v>
      </c>
      <c r="N39" s="37" t="n">
        <v>447712</v>
      </c>
      <c r="O39" s="36" t="s">
        <v>453</v>
      </c>
      <c r="P39" s="36" t="s">
        <v>154</v>
      </c>
      <c r="Q39" s="36" t="s">
        <v>145</v>
      </c>
      <c r="R39" s="36" t="s">
        <v>69</v>
      </c>
      <c r="S39" s="36" t="s">
        <v>520</v>
      </c>
      <c r="T39" s="39" t="n">
        <f aca="false">Assumptions!$C$15</f>
        <v>0.25</v>
      </c>
      <c r="U39" s="40" t="n">
        <f aca="false">J39*(1-T39)</f>
        <v>356475</v>
      </c>
      <c r="V39" s="41" t="n">
        <f aca="false">IF((1-T39)&gt;0.75,Assumptions!$C$11,IF((1-T39)&gt;0.7,Assumptions!$C$12,Assumptions!$C$13))</f>
        <v>0.0725</v>
      </c>
      <c r="W39" s="40" t="n">
        <f aca="false">PMT(V39/12,Assumptions!$C$14,-U39)+J39*INDEX(Assumptions!$C$28:$C$34,MATCH(C39,Assumptions!$B$28:$B$34,0))/12+(INDEX(Assumptions!$D$28:$D$34,MATCH(C39,Assumptions!$B$28:$B$34,0))+INDEX(Assumptions!$C$22:$C$25,MATCH(R39,Assumptions!$B$22:$B$25,0)))/12</f>
        <v>3732.18789433031</v>
      </c>
      <c r="X39" s="40" t="n">
        <f aca="false">W39*12*$B$18/Assumptions!$C$18</f>
        <v>55982.8184149547</v>
      </c>
      <c r="Y39" s="40" t="n">
        <f aca="false">W39*12*$B$19/Assumptions!$C$18</f>
        <v>69978.5230186933</v>
      </c>
      <c r="Z39" s="40" t="n">
        <f aca="false">J39*(T39+Assumptions!$C$16)</f>
        <v>137837</v>
      </c>
      <c r="AA39" s="56" t="n">
        <f aca="false">IF(ISNUMBER(F39),F39,IF(H39&gt;=2000,4,3))</f>
        <v>3</v>
      </c>
      <c r="AB39" s="40" t="n">
        <f aca="false">IFERROR(INDEX($E$18:$H$25,MATCH(D39,$D$18:$D$25,0),1+IF(AA39&gt;=4,2,0)+IF(Q39="Y",1,0)),0)</f>
        <v>60000</v>
      </c>
      <c r="AC39" s="42" t="n">
        <f aca="false">IFERROR(AB39/X39,0)</f>
        <v>1.071757401624</v>
      </c>
      <c r="AD39" s="57" t="str">
        <f aca="false">IF(ISNUMBER(SEARCH("Mobile",E39)),"EXCLUDED",IF(AB39&gt;=Y39,"PASS",IF(AB39&gt;=X39,"MARGINAL","FAIL")))</f>
        <v>MARGINAL</v>
      </c>
      <c r="AE39" s="35" t="s">
        <v>550</v>
      </c>
    </row>
    <row r="40" customFormat="false" ht="23.85" hidden="false" customHeight="false" outlineLevel="0" collapsed="false">
      <c r="A40" s="27" t="s">
        <v>551</v>
      </c>
      <c r="B40" s="27" t="s">
        <v>239</v>
      </c>
      <c r="C40" s="27" t="s">
        <v>18</v>
      </c>
      <c r="D40" s="27" t="s">
        <v>484</v>
      </c>
      <c r="E40" s="27" t="s">
        <v>552</v>
      </c>
      <c r="F40" s="27"/>
      <c r="G40" s="27"/>
      <c r="H40" s="52" t="n">
        <v>2174</v>
      </c>
      <c r="I40" s="13" t="n">
        <v>1999</v>
      </c>
      <c r="J40" s="19" t="n">
        <v>399900</v>
      </c>
      <c r="K40" s="13" t="n">
        <v>102</v>
      </c>
      <c r="L40" s="27" t="s">
        <v>553</v>
      </c>
      <c r="M40" s="19" t="n">
        <v>215000</v>
      </c>
      <c r="N40" s="19" t="n">
        <v>415036</v>
      </c>
      <c r="O40" s="27" t="s">
        <v>515</v>
      </c>
      <c r="P40" s="27" t="s">
        <v>154</v>
      </c>
      <c r="Q40" s="27" t="s">
        <v>154</v>
      </c>
      <c r="R40" s="27" t="s">
        <v>69</v>
      </c>
      <c r="S40" s="27" t="s">
        <v>520</v>
      </c>
      <c r="T40" s="28" t="n">
        <f aca="false">Assumptions!$C$15</f>
        <v>0.25</v>
      </c>
      <c r="U40" s="21" t="n">
        <f aca="false">J40*(1-T40)</f>
        <v>299925</v>
      </c>
      <c r="V40" s="29" t="n">
        <f aca="false">IF((1-T40)&gt;0.75,Assumptions!$C$11,IF((1-T40)&gt;0.7,Assumptions!$C$12,Assumptions!$C$13))</f>
        <v>0.0725</v>
      </c>
      <c r="W40" s="21" t="n">
        <f aca="false">PMT(V40/12,Assumptions!$C$14,-U40)+J40*INDEX(Assumptions!$C$28:$C$34,MATCH(C40,Assumptions!$B$28:$B$34,0))/12+(INDEX(Assumptions!$D$28:$D$34,MATCH(C40,Assumptions!$B$28:$B$34,0))+INDEX(Assumptions!$C$22:$C$25,MATCH(R40,Assumptions!$B$22:$B$25,0)))/12</f>
        <v>3245.8838746252</v>
      </c>
      <c r="X40" s="21" t="n">
        <f aca="false">W40*12*$B$18/Assumptions!$C$18</f>
        <v>48688.258119378</v>
      </c>
      <c r="Y40" s="21" t="n">
        <f aca="false">W40*12*$B$19/Assumptions!$C$18</f>
        <v>60860.3226492225</v>
      </c>
      <c r="Z40" s="21" t="n">
        <f aca="false">J40*(T40+Assumptions!$C$16)</f>
        <v>115971</v>
      </c>
      <c r="AA40" s="53" t="n">
        <f aca="false">IF(ISNUMBER(F40),F40,IF(H40&gt;=2000,4,3))</f>
        <v>4</v>
      </c>
      <c r="AB40" s="21" t="n">
        <f aca="false">IFERROR(INDEX($E$18:$H$25,MATCH(D40,$D$18:$D$25,0),1+IF(AA40&gt;=4,2,0)+IF(Q40="Y",1,0)),0)</f>
        <v>52000</v>
      </c>
      <c r="AC40" s="30" t="n">
        <f aca="false">IFERROR(AB40/X40,0)</f>
        <v>1.06801931325007</v>
      </c>
      <c r="AD40" s="4" t="str">
        <f aca="false">IF(ISNUMBER(SEARCH("Mobile",E40)),"EXCLUDED",IF(AB40&gt;=Y40,"PASS",IF(AB40&gt;=X40,"MARGINAL","FAIL")))</f>
        <v>MARGINAL</v>
      </c>
      <c r="AE40" s="26" t="s">
        <v>546</v>
      </c>
    </row>
    <row r="41" customFormat="false" ht="35.05" hidden="false" customHeight="false" outlineLevel="0" collapsed="false">
      <c r="A41" s="36" t="s">
        <v>554</v>
      </c>
      <c r="B41" s="36" t="s">
        <v>297</v>
      </c>
      <c r="C41" s="36" t="s">
        <v>18</v>
      </c>
      <c r="D41" s="36" t="s">
        <v>484</v>
      </c>
      <c r="E41" s="36" t="s">
        <v>506</v>
      </c>
      <c r="F41" s="36"/>
      <c r="G41" s="36" t="n">
        <v>2</v>
      </c>
      <c r="H41" s="55" t="n">
        <v>1600</v>
      </c>
      <c r="I41" s="34" t="n">
        <v>1958</v>
      </c>
      <c r="J41" s="37" t="n">
        <v>478000</v>
      </c>
      <c r="K41" s="34" t="n">
        <v>6</v>
      </c>
      <c r="L41" s="36" t="s">
        <v>519</v>
      </c>
      <c r="M41" s="37" t="n">
        <v>35000</v>
      </c>
      <c r="N41" s="37" t="n">
        <v>342910</v>
      </c>
      <c r="O41" s="36" t="s">
        <v>515</v>
      </c>
      <c r="P41" s="36" t="s">
        <v>154</v>
      </c>
      <c r="Q41" s="36" t="s">
        <v>145</v>
      </c>
      <c r="R41" s="36" t="s">
        <v>69</v>
      </c>
      <c r="S41" s="36" t="s">
        <v>532</v>
      </c>
      <c r="T41" s="39" t="n">
        <f aca="false">Assumptions!$C$15</f>
        <v>0.25</v>
      </c>
      <c r="U41" s="40" t="n">
        <f aca="false">J41*(1-T41)</f>
        <v>358500</v>
      </c>
      <c r="V41" s="41" t="n">
        <f aca="false">IF((1-T41)&gt;0.75,Assumptions!$C$11,IF((1-T41)&gt;0.7,Assumptions!$C$12,Assumptions!$C$13))</f>
        <v>0.0725</v>
      </c>
      <c r="W41" s="40" t="n">
        <f aca="false">PMT(V41/12,Assumptions!$C$14,-U41)+J41*INDEX(Assumptions!$C$28:$C$34,MATCH(C41,Assumptions!$B$28:$B$34,0))/12+(INDEX(Assumptions!$D$28:$D$34,MATCH(C41,Assumptions!$B$28:$B$34,0))+INDEX(Assumptions!$C$22:$C$25,MATCH(R41,Assumptions!$B$22:$B$25,0)))/12</f>
        <v>3749.60196400145</v>
      </c>
      <c r="X41" s="40" t="n">
        <f aca="false">W41*12*$B$18/Assumptions!$C$18</f>
        <v>56244.0294600217</v>
      </c>
      <c r="Y41" s="40" t="n">
        <f aca="false">W41*12*$B$19/Assumptions!$C$18</f>
        <v>70305.0368250271</v>
      </c>
      <c r="Z41" s="40" t="n">
        <f aca="false">J41*(T41+Assumptions!$C$16)</f>
        <v>138620</v>
      </c>
      <c r="AA41" s="56" t="n">
        <f aca="false">IF(ISNUMBER(F41),F41,IF(H41&gt;=2000,4,3))</f>
        <v>3</v>
      </c>
      <c r="AB41" s="40" t="n">
        <f aca="false">IFERROR(INDEX($E$18:$H$25,MATCH(D41,$D$18:$D$25,0),1+IF(AA41&gt;=4,2,0)+IF(Q41="Y",1,0)),0)</f>
        <v>60000</v>
      </c>
      <c r="AC41" s="42" t="n">
        <f aca="false">IFERROR(AB41/X41,0)</f>
        <v>1.06677989781383</v>
      </c>
      <c r="AD41" s="57" t="str">
        <f aca="false">IF(ISNUMBER(SEARCH("Mobile",E41)),"EXCLUDED",IF(AB41&gt;=Y41,"PASS",IF(AB41&gt;=X41,"MARGINAL","FAIL")))</f>
        <v>MARGINAL</v>
      </c>
      <c r="AE41" s="35" t="s">
        <v>555</v>
      </c>
    </row>
    <row r="42" customFormat="false" ht="46.25" hidden="false" customHeight="false" outlineLevel="0" collapsed="false">
      <c r="A42" s="27" t="s">
        <v>556</v>
      </c>
      <c r="B42" s="27" t="s">
        <v>548</v>
      </c>
      <c r="C42" s="27" t="s">
        <v>18</v>
      </c>
      <c r="D42" s="27" t="s">
        <v>484</v>
      </c>
      <c r="E42" s="27" t="s">
        <v>506</v>
      </c>
      <c r="F42" s="27"/>
      <c r="G42" s="27" t="n">
        <v>3</v>
      </c>
      <c r="H42" s="52" t="n">
        <v>2624</v>
      </c>
      <c r="I42" s="13" t="n">
        <v>1990</v>
      </c>
      <c r="J42" s="19" t="n">
        <v>574900</v>
      </c>
      <c r="K42" s="13" t="n">
        <v>54</v>
      </c>
      <c r="L42" s="27" t="s">
        <v>557</v>
      </c>
      <c r="M42" s="19" t="n">
        <v>209000</v>
      </c>
      <c r="N42" s="19" t="n">
        <v>700711</v>
      </c>
      <c r="O42" s="27" t="s">
        <v>453</v>
      </c>
      <c r="P42" s="27" t="s">
        <v>154</v>
      </c>
      <c r="Q42" s="27" t="s">
        <v>145</v>
      </c>
      <c r="R42" s="27" t="s">
        <v>69</v>
      </c>
      <c r="S42" s="27" t="s">
        <v>520</v>
      </c>
      <c r="T42" s="28" t="n">
        <f aca="false">Assumptions!$C$15</f>
        <v>0.25</v>
      </c>
      <c r="U42" s="21" t="n">
        <f aca="false">J42*(1-T42)</f>
        <v>431175</v>
      </c>
      <c r="V42" s="29" t="n">
        <f aca="false">IF((1-T42)&gt;0.75,Assumptions!$C$11,IF((1-T42)&gt;0.7,Assumptions!$C$12,Assumptions!$C$13))</f>
        <v>0.0725</v>
      </c>
      <c r="W42" s="21" t="n">
        <f aca="false">PMT(V42/12,Assumptions!$C$14,-U42)+J42*INDEX(Assumptions!$C$28:$C$34,MATCH(C42,Assumptions!$B$28:$B$34,0))/12+(INDEX(Assumptions!$D$28:$D$34,MATCH(C42,Assumptions!$B$28:$B$34,0))+INDEX(Assumptions!$C$22:$C$25,MATCH(R42,Assumptions!$B$22:$B$25,0)))/12</f>
        <v>4374.57357553229</v>
      </c>
      <c r="X42" s="21" t="n">
        <f aca="false">W42*12*$B$18/Assumptions!$C$18</f>
        <v>65618.6036329843</v>
      </c>
      <c r="Y42" s="21" t="n">
        <f aca="false">W42*12*$B$19/Assumptions!$C$18</f>
        <v>82023.2545412303</v>
      </c>
      <c r="Z42" s="21" t="n">
        <f aca="false">J42*(T42+Assumptions!$C$16)</f>
        <v>166721</v>
      </c>
      <c r="AA42" s="53" t="n">
        <f aca="false">IF(ISNUMBER(F42),F42,IF(H42&gt;=2000,4,3))</f>
        <v>4</v>
      </c>
      <c r="AB42" s="21" t="n">
        <f aca="false">IFERROR(INDEX($E$18:$H$25,MATCH(D42,$D$18:$D$25,0),1+IF(AA42&gt;=4,2,0)+IF(Q42="Y",1,0)),0)</f>
        <v>70000</v>
      </c>
      <c r="AC42" s="30" t="n">
        <f aca="false">IFERROR(AB42/X42,0)</f>
        <v>1.06677064314751</v>
      </c>
      <c r="AD42" s="4" t="str">
        <f aca="false">IF(ISNUMBER(SEARCH("Mobile",E42)),"EXCLUDED",IF(AB42&gt;=Y42,"PASS",IF(AB42&gt;=X42,"MARGINAL","FAIL")))</f>
        <v>MARGINAL</v>
      </c>
      <c r="AE42" s="26" t="s">
        <v>558</v>
      </c>
    </row>
    <row r="43" customFormat="false" ht="15" hidden="false" customHeight="false" outlineLevel="0" collapsed="false">
      <c r="A43" s="36" t="s">
        <v>559</v>
      </c>
      <c r="B43" s="36" t="s">
        <v>338</v>
      </c>
      <c r="C43" s="36" t="s">
        <v>85</v>
      </c>
      <c r="D43" s="36" t="s">
        <v>485</v>
      </c>
      <c r="E43" s="36" t="s">
        <v>506</v>
      </c>
      <c r="F43" s="36" t="n">
        <v>3</v>
      </c>
      <c r="G43" s="36" t="n">
        <v>2</v>
      </c>
      <c r="H43" s="55" t="n">
        <v>1427</v>
      </c>
      <c r="I43" s="34" t="n">
        <v>2003</v>
      </c>
      <c r="J43" s="37" t="n">
        <v>385000</v>
      </c>
      <c r="K43" s="34" t="n">
        <v>250</v>
      </c>
      <c r="L43" s="36" t="s">
        <v>560</v>
      </c>
      <c r="M43" s="37" t="n">
        <v>430000</v>
      </c>
      <c r="N43" s="37" t="n">
        <v>104519</v>
      </c>
      <c r="O43" s="36" t="s">
        <v>458</v>
      </c>
      <c r="P43" s="36" t="s">
        <v>154</v>
      </c>
      <c r="Q43" s="36" t="s">
        <v>145</v>
      </c>
      <c r="R43" s="36" t="s">
        <v>71</v>
      </c>
      <c r="S43" s="36" t="s">
        <v>508</v>
      </c>
      <c r="T43" s="39" t="n">
        <f aca="false">Assumptions!$C$15</f>
        <v>0.25</v>
      </c>
      <c r="U43" s="40" t="n">
        <f aca="false">J43*(1-T43)</f>
        <v>288750</v>
      </c>
      <c r="V43" s="41" t="n">
        <f aca="false">IF((1-T43)&gt;0.75,Assumptions!$C$11,IF((1-T43)&gt;0.7,Assumptions!$C$12,Assumptions!$C$13))</f>
        <v>0.0725</v>
      </c>
      <c r="W43" s="40" t="n">
        <f aca="false">PMT(V43/12,Assumptions!$C$14,-U43)+J43*INDEX(Assumptions!$C$28:$C$34,MATCH(C43,Assumptions!$B$28:$B$34,0))/12+(INDEX(Assumptions!$D$28:$D$34,MATCH(C43,Assumptions!$B$28:$B$34,0))+INDEX(Assumptions!$C$22:$C$25,MATCH(R43,Assumptions!$B$22:$B$25,0)))/12</f>
        <v>3473.53400866225</v>
      </c>
      <c r="X43" s="40" t="n">
        <f aca="false">W43*12*$B$18/Assumptions!$C$18</f>
        <v>52103.0101299338</v>
      </c>
      <c r="Y43" s="40" t="n">
        <f aca="false">W43*12*$B$19/Assumptions!$C$18</f>
        <v>65128.7626624173</v>
      </c>
      <c r="Z43" s="40" t="n">
        <f aca="false">J43*(T43+Assumptions!$C$16)</f>
        <v>111650</v>
      </c>
      <c r="AA43" s="56" t="n">
        <f aca="false">IF(ISNUMBER(F43),F43,IF(H43&gt;=2000,4,3))</f>
        <v>3</v>
      </c>
      <c r="AB43" s="40" t="n">
        <f aca="false">IFERROR(INDEX($E$18:$H$25,MATCH(D43,$D$18:$D$25,0),1+IF(AA43&gt;=4,2,0)+IF(Q43="Y",1,0)),0)</f>
        <v>55000</v>
      </c>
      <c r="AC43" s="42" t="n">
        <f aca="false">IFERROR(AB43/X43,0)</f>
        <v>1.05560119967813</v>
      </c>
      <c r="AD43" s="57" t="str">
        <f aca="false">IF(ISNUMBER(SEARCH("Mobile",E43)),"EXCLUDED",IF(AB43&gt;=Y43,"PASS",IF(AB43&gt;=X43,"MARGINAL","FAIL")))</f>
        <v>MARGINAL</v>
      </c>
      <c r="AE43" s="35"/>
    </row>
    <row r="44" customFormat="false" ht="15" hidden="false" customHeight="false" outlineLevel="0" collapsed="false">
      <c r="A44" s="27" t="s">
        <v>561</v>
      </c>
      <c r="B44" s="27" t="s">
        <v>338</v>
      </c>
      <c r="C44" s="27" t="s">
        <v>85</v>
      </c>
      <c r="D44" s="27" t="s">
        <v>485</v>
      </c>
      <c r="E44" s="27" t="s">
        <v>506</v>
      </c>
      <c r="F44" s="27" t="n">
        <v>3</v>
      </c>
      <c r="G44" s="27" t="n">
        <v>2</v>
      </c>
      <c r="H44" s="52" t="n">
        <v>2269</v>
      </c>
      <c r="I44" s="13" t="n">
        <v>2005</v>
      </c>
      <c r="J44" s="19" t="n">
        <v>430000</v>
      </c>
      <c r="K44" s="13" t="n">
        <v>51</v>
      </c>
      <c r="L44" s="27" t="s">
        <v>562</v>
      </c>
      <c r="M44" s="19" t="n">
        <v>203000</v>
      </c>
      <c r="N44" s="19" t="n">
        <v>536273</v>
      </c>
      <c r="O44" s="27" t="s">
        <v>458</v>
      </c>
      <c r="P44" s="27" t="s">
        <v>154</v>
      </c>
      <c r="Q44" s="27" t="s">
        <v>145</v>
      </c>
      <c r="R44" s="27" t="s">
        <v>69</v>
      </c>
      <c r="S44" s="27" t="s">
        <v>508</v>
      </c>
      <c r="T44" s="28" t="n">
        <f aca="false">Assumptions!$C$15</f>
        <v>0.25</v>
      </c>
      <c r="U44" s="21" t="n">
        <f aca="false">J44*(1-T44)</f>
        <v>322500</v>
      </c>
      <c r="V44" s="29" t="n">
        <f aca="false">IF((1-T44)&gt;0.75,Assumptions!$C$11,IF((1-T44)&gt;0.7,Assumptions!$C$12,Assumptions!$C$13))</f>
        <v>0.0725</v>
      </c>
      <c r="W44" s="21" t="n">
        <f aca="false">PMT(V44/12,Assumptions!$C$14,-U44)+J44*INDEX(Assumptions!$C$28:$C$34,MATCH(C44,Assumptions!$B$28:$B$34,0))/12+(INDEX(Assumptions!$D$28:$D$34,MATCH(C44,Assumptions!$B$28:$B$34,0))+INDEX(Assumptions!$C$22:$C$25,MATCH(R44,Assumptions!$B$22:$B$25,0)))/12</f>
        <v>3475.85183651455</v>
      </c>
      <c r="X44" s="21" t="n">
        <f aca="false">W44*12*$B$18/Assumptions!$C$18</f>
        <v>52137.7775477183</v>
      </c>
      <c r="Y44" s="21" t="n">
        <f aca="false">W44*12*$B$19/Assumptions!$C$18</f>
        <v>65172.2219346479</v>
      </c>
      <c r="Z44" s="21" t="n">
        <f aca="false">J44*(T44+Assumptions!$C$16)</f>
        <v>124700</v>
      </c>
      <c r="AA44" s="53" t="n">
        <f aca="false">IF(ISNUMBER(F44),F44,IF(H44&gt;=2000,4,3))</f>
        <v>3</v>
      </c>
      <c r="AB44" s="21" t="n">
        <f aca="false">IFERROR(INDEX($E$18:$H$25,MATCH(D44,$D$18:$D$25,0),1+IF(AA44&gt;=4,2,0)+IF(Q44="Y",1,0)),0)</f>
        <v>55000</v>
      </c>
      <c r="AC44" s="30" t="n">
        <f aca="false">IFERROR(AB44/X44,0)</f>
        <v>1.054897285364</v>
      </c>
      <c r="AD44" s="4" t="str">
        <f aca="false">IF(ISNUMBER(SEARCH("Mobile",E44)),"EXCLUDED",IF(AB44&gt;=Y44,"PASS",IF(AB44&gt;=X44,"MARGINAL","FAIL")))</f>
        <v>MARGINAL</v>
      </c>
      <c r="AE44" s="26"/>
    </row>
    <row r="45" customFormat="false" ht="15" hidden="false" customHeight="false" outlineLevel="0" collapsed="false">
      <c r="A45" s="36" t="s">
        <v>563</v>
      </c>
      <c r="B45" s="36" t="s">
        <v>331</v>
      </c>
      <c r="C45" s="36" t="s">
        <v>85</v>
      </c>
      <c r="D45" s="36" t="s">
        <v>485</v>
      </c>
      <c r="E45" s="36" t="s">
        <v>506</v>
      </c>
      <c r="F45" s="36" t="n">
        <v>4</v>
      </c>
      <c r="G45" s="36" t="n">
        <v>2</v>
      </c>
      <c r="H45" s="55" t="n">
        <v>1870</v>
      </c>
      <c r="I45" s="34" t="n">
        <v>2022</v>
      </c>
      <c r="J45" s="37" t="n">
        <v>529000</v>
      </c>
      <c r="K45" s="34" t="n">
        <v>289</v>
      </c>
      <c r="L45" s="36" t="s">
        <v>564</v>
      </c>
      <c r="M45" s="37" t="n">
        <v>610000</v>
      </c>
      <c r="N45" s="37" t="n">
        <v>85159</v>
      </c>
      <c r="O45" s="36" t="s">
        <v>453</v>
      </c>
      <c r="P45" s="36" t="s">
        <v>154</v>
      </c>
      <c r="Q45" s="36" t="s">
        <v>145</v>
      </c>
      <c r="R45" s="36" t="s">
        <v>69</v>
      </c>
      <c r="S45" s="36" t="s">
        <v>508</v>
      </c>
      <c r="T45" s="39" t="n">
        <f aca="false">Assumptions!$C$15</f>
        <v>0.25</v>
      </c>
      <c r="U45" s="40" t="n">
        <f aca="false">J45*(1-T45)</f>
        <v>396750</v>
      </c>
      <c r="V45" s="41" t="n">
        <f aca="false">IF((1-T45)&gt;0.75,Assumptions!$C$11,IF((1-T45)&gt;0.7,Assumptions!$C$12,Assumptions!$C$13))</f>
        <v>0.0725</v>
      </c>
      <c r="W45" s="40" t="n">
        <f aca="false">PMT(V45/12,Assumptions!$C$14,-U45)+J45*INDEX(Assumptions!$C$28:$C$34,MATCH(C45,Assumptions!$B$28:$B$34,0))/12+(INDEX(Assumptions!$D$28:$D$34,MATCH(C45,Assumptions!$B$28:$B$34,0))+INDEX(Assumptions!$C$22:$C$25,MATCH(R45,Assumptions!$B$22:$B$25,0)))/12</f>
        <v>4122.61772445628</v>
      </c>
      <c r="X45" s="40" t="n">
        <f aca="false">W45*12*$B$18/Assumptions!$C$18</f>
        <v>61839.2658668441</v>
      </c>
      <c r="Y45" s="40" t="n">
        <f aca="false">W45*12*$B$19/Assumptions!$C$18</f>
        <v>77299.0823335552</v>
      </c>
      <c r="Z45" s="40" t="n">
        <f aca="false">J45*(T45+Assumptions!$C$16)</f>
        <v>153410</v>
      </c>
      <c r="AA45" s="56" t="n">
        <f aca="false">IF(ISNUMBER(F45),F45,IF(H45&gt;=2000,4,3))</f>
        <v>4</v>
      </c>
      <c r="AB45" s="40" t="n">
        <f aca="false">IFERROR(INDEX($E$18:$H$25,MATCH(D45,$D$18:$D$25,0),1+IF(AA45&gt;=4,2,0)+IF(Q45="Y",1,0)),0)</f>
        <v>65000</v>
      </c>
      <c r="AC45" s="42" t="n">
        <f aca="false">IFERROR(AB45/X45,0)</f>
        <v>1.05111209017199</v>
      </c>
      <c r="AD45" s="57" t="str">
        <f aca="false">IF(ISNUMBER(SEARCH("Mobile",E45)),"EXCLUDED",IF(AB45&gt;=Y45,"PASS",IF(AB45&gt;=X45,"MARGINAL","FAIL")))</f>
        <v>MARGINAL</v>
      </c>
      <c r="AE45" s="35"/>
    </row>
    <row r="46" customFormat="false" ht="15" hidden="false" customHeight="false" outlineLevel="0" collapsed="false">
      <c r="A46" s="27" t="s">
        <v>565</v>
      </c>
      <c r="B46" s="27" t="s">
        <v>331</v>
      </c>
      <c r="C46" s="27" t="s">
        <v>85</v>
      </c>
      <c r="D46" s="27" t="s">
        <v>485</v>
      </c>
      <c r="E46" s="27" t="s">
        <v>506</v>
      </c>
      <c r="F46" s="27" t="n">
        <v>3</v>
      </c>
      <c r="G46" s="27" t="n">
        <v>2</v>
      </c>
      <c r="H46" s="52" t="n">
        <v>1556</v>
      </c>
      <c r="I46" s="13" t="n">
        <v>1987</v>
      </c>
      <c r="J46" s="19" t="n">
        <v>389000</v>
      </c>
      <c r="K46" s="13" t="n">
        <v>56</v>
      </c>
      <c r="L46" s="27" t="s">
        <v>566</v>
      </c>
      <c r="M46" s="19" t="n">
        <v>250000</v>
      </c>
      <c r="N46" s="19" t="n">
        <v>237547</v>
      </c>
      <c r="O46" s="27" t="s">
        <v>458</v>
      </c>
      <c r="P46" s="27" t="s">
        <v>154</v>
      </c>
      <c r="Q46" s="27" t="s">
        <v>145</v>
      </c>
      <c r="R46" s="27" t="s">
        <v>71</v>
      </c>
      <c r="S46" s="27" t="s">
        <v>508</v>
      </c>
      <c r="T46" s="28" t="n">
        <f aca="false">Assumptions!$C$15</f>
        <v>0.25</v>
      </c>
      <c r="U46" s="21" t="n">
        <f aca="false">J46*(1-T46)</f>
        <v>291750</v>
      </c>
      <c r="V46" s="29" t="n">
        <f aca="false">IF((1-T46)&gt;0.75,Assumptions!$C$11,IF((1-T46)&gt;0.7,Assumptions!$C$12,Assumptions!$C$13))</f>
        <v>0.0725</v>
      </c>
      <c r="W46" s="21" t="n">
        <f aca="false">PMT(V46/12,Assumptions!$C$14,-U46)+J46*INDEX(Assumptions!$C$28:$C$34,MATCH(C46,Assumptions!$B$28:$B$34,0))/12+(INDEX(Assumptions!$D$28:$D$34,MATCH(C46,Assumptions!$B$28:$B$34,0))+INDEX(Assumptions!$C$22:$C$25,MATCH(R46,Assumptions!$B$22:$B$25,0)))/12</f>
        <v>3499.66596373061</v>
      </c>
      <c r="X46" s="21" t="n">
        <f aca="false">W46*12*$B$18/Assumptions!$C$18</f>
        <v>52494.9894559591</v>
      </c>
      <c r="Y46" s="21" t="n">
        <f aca="false">W46*12*$B$19/Assumptions!$C$18</f>
        <v>65618.7368199489</v>
      </c>
      <c r="Z46" s="21" t="n">
        <f aca="false">J46*(T46+Assumptions!$C$16)</f>
        <v>112810</v>
      </c>
      <c r="AA46" s="53" t="n">
        <f aca="false">IF(ISNUMBER(F46),F46,IF(H46&gt;=2000,4,3))</f>
        <v>3</v>
      </c>
      <c r="AB46" s="21" t="n">
        <f aca="false">IFERROR(INDEX($E$18:$H$25,MATCH(D46,$D$18:$D$25,0),1+IF(AA46&gt;=4,2,0)+IF(Q46="Y",1,0)),0)</f>
        <v>55000</v>
      </c>
      <c r="AC46" s="30" t="n">
        <f aca="false">IFERROR(AB46/X46,0)</f>
        <v>1.04771904080755</v>
      </c>
      <c r="AD46" s="4" t="str">
        <f aca="false">IF(ISNUMBER(SEARCH("Mobile",E46)),"EXCLUDED",IF(AB46&gt;=Y46,"PASS",IF(AB46&gt;=X46,"MARGINAL","FAIL")))</f>
        <v>MARGINAL</v>
      </c>
      <c r="AE46" s="26"/>
    </row>
    <row r="47" customFormat="false" ht="23.85" hidden="false" customHeight="false" outlineLevel="0" collapsed="false">
      <c r="A47" s="36" t="s">
        <v>567</v>
      </c>
      <c r="B47" s="36" t="s">
        <v>310</v>
      </c>
      <c r="C47" s="36" t="s">
        <v>18</v>
      </c>
      <c r="D47" s="36" t="s">
        <v>484</v>
      </c>
      <c r="E47" s="36" t="s">
        <v>506</v>
      </c>
      <c r="F47" s="36"/>
      <c r="G47" s="36" t="n">
        <v>2</v>
      </c>
      <c r="H47" s="55" t="n">
        <v>1664</v>
      </c>
      <c r="I47" s="34" t="n">
        <v>1987</v>
      </c>
      <c r="J47" s="37" t="n">
        <v>489000</v>
      </c>
      <c r="K47" s="34" t="n">
        <v>30</v>
      </c>
      <c r="L47" s="36" t="s">
        <v>568</v>
      </c>
      <c r="M47" s="37" t="n">
        <v>263000</v>
      </c>
      <c r="N47" s="37" t="n">
        <v>389696</v>
      </c>
      <c r="O47" s="36" t="s">
        <v>448</v>
      </c>
      <c r="P47" s="36" t="s">
        <v>154</v>
      </c>
      <c r="Q47" s="36" t="s">
        <v>145</v>
      </c>
      <c r="R47" s="36" t="s">
        <v>69</v>
      </c>
      <c r="S47" s="36" t="s">
        <v>520</v>
      </c>
      <c r="T47" s="39" t="n">
        <f aca="false">Assumptions!$C$15</f>
        <v>0.25</v>
      </c>
      <c r="U47" s="40" t="n">
        <f aca="false">J47*(1-T47)</f>
        <v>366750</v>
      </c>
      <c r="V47" s="41" t="n">
        <f aca="false">IF((1-T47)&gt;0.75,Assumptions!$C$11,IF((1-T47)&gt;0.7,Assumptions!$C$12,Assumptions!$C$13))</f>
        <v>0.0725</v>
      </c>
      <c r="W47" s="40" t="n">
        <f aca="false">PMT(V47/12,Assumptions!$C$14,-U47)+J47*INDEX(Assumptions!$C$28:$C$34,MATCH(C47,Assumptions!$B$28:$B$34,0))/12+(INDEX(Assumptions!$D$28:$D$34,MATCH(C47,Assumptions!$B$28:$B$34,0))+INDEX(Assumptions!$C$22:$C$25,MATCH(R47,Assumptions!$B$22:$B$25,0)))/12</f>
        <v>3820.54817377275</v>
      </c>
      <c r="X47" s="40" t="n">
        <f aca="false">W47*12*$B$18/Assumptions!$C$18</f>
        <v>57308.2226065913</v>
      </c>
      <c r="Y47" s="40" t="n">
        <f aca="false">W47*12*$B$19/Assumptions!$C$18</f>
        <v>71635.2782582391</v>
      </c>
      <c r="Z47" s="40" t="n">
        <f aca="false">J47*(T47+Assumptions!$C$16)</f>
        <v>141810</v>
      </c>
      <c r="AA47" s="56" t="n">
        <f aca="false">IF(ISNUMBER(F47),F47,IF(H47&gt;=2000,4,3))</f>
        <v>3</v>
      </c>
      <c r="AB47" s="40" t="n">
        <f aca="false">IFERROR(INDEX($E$18:$H$25,MATCH(D47,$D$18:$D$25,0),1+IF(AA47&gt;=4,2,0)+IF(Q47="Y",1,0)),0)</f>
        <v>60000</v>
      </c>
      <c r="AC47" s="42" t="n">
        <f aca="false">IFERROR(AB47/X47,0)</f>
        <v>1.04697017759366</v>
      </c>
      <c r="AD47" s="57" t="str">
        <f aca="false">IF(ISNUMBER(SEARCH("Mobile",E47)),"EXCLUDED",IF(AB47&gt;=Y47,"PASS",IF(AB47&gt;=X47,"MARGINAL","FAIL")))</f>
        <v>MARGINAL</v>
      </c>
      <c r="AE47" s="35" t="s">
        <v>546</v>
      </c>
    </row>
    <row r="48" customFormat="false" ht="35.05" hidden="false" customHeight="false" outlineLevel="0" collapsed="false">
      <c r="A48" s="27" t="s">
        <v>569</v>
      </c>
      <c r="B48" s="27" t="s">
        <v>297</v>
      </c>
      <c r="C48" s="27" t="s">
        <v>18</v>
      </c>
      <c r="D48" s="27" t="s">
        <v>484</v>
      </c>
      <c r="E48" s="27" t="s">
        <v>506</v>
      </c>
      <c r="F48" s="27"/>
      <c r="G48" s="27" t="n">
        <v>3</v>
      </c>
      <c r="H48" s="52" t="n">
        <v>1792</v>
      </c>
      <c r="I48" s="13" t="n">
        <v>1956</v>
      </c>
      <c r="J48" s="19" t="n">
        <v>489900</v>
      </c>
      <c r="K48" s="13" t="n">
        <v>11</v>
      </c>
      <c r="L48" s="27" t="s">
        <v>570</v>
      </c>
      <c r="M48" s="19" t="n">
        <v>213500</v>
      </c>
      <c r="N48" s="19" t="n">
        <v>402862</v>
      </c>
      <c r="O48" s="27" t="s">
        <v>448</v>
      </c>
      <c r="P48" s="27" t="s">
        <v>154</v>
      </c>
      <c r="Q48" s="27" t="s">
        <v>145</v>
      </c>
      <c r="R48" s="27" t="s">
        <v>69</v>
      </c>
      <c r="S48" s="27" t="s">
        <v>532</v>
      </c>
      <c r="T48" s="28" t="n">
        <f aca="false">Assumptions!$C$15</f>
        <v>0.25</v>
      </c>
      <c r="U48" s="21" t="n">
        <f aca="false">J48*(1-T48)</f>
        <v>367425</v>
      </c>
      <c r="V48" s="29" t="n">
        <f aca="false">IF((1-T48)&gt;0.75,Assumptions!$C$11,IF((1-T48)&gt;0.7,Assumptions!$C$12,Assumptions!$C$13))</f>
        <v>0.0725</v>
      </c>
      <c r="W48" s="21" t="n">
        <f aca="false">PMT(V48/12,Assumptions!$C$14,-U48)+J48*INDEX(Assumptions!$C$28:$C$34,MATCH(C48,Assumptions!$B$28:$B$34,0))/12+(INDEX(Assumptions!$D$28:$D$34,MATCH(C48,Assumptions!$B$28:$B$34,0))+INDEX(Assumptions!$C$22:$C$25,MATCH(R48,Assumptions!$B$22:$B$25,0)))/12</f>
        <v>3826.35286366313</v>
      </c>
      <c r="X48" s="21" t="n">
        <f aca="false">W48*12*$B$18/Assumptions!$C$18</f>
        <v>57395.2929549469</v>
      </c>
      <c r="Y48" s="21" t="n">
        <f aca="false">W48*12*$B$19/Assumptions!$C$18</f>
        <v>71744.1161936837</v>
      </c>
      <c r="Z48" s="21" t="n">
        <f aca="false">J48*(T48+Assumptions!$C$16)</f>
        <v>142071</v>
      </c>
      <c r="AA48" s="53" t="n">
        <f aca="false">IF(ISNUMBER(F48),F48,IF(H48&gt;=2000,4,3))</f>
        <v>3</v>
      </c>
      <c r="AB48" s="21" t="n">
        <f aca="false">IFERROR(INDEX($E$18:$H$25,MATCH(D48,$D$18:$D$25,0),1+IF(AA48&gt;=4,2,0)+IF(Q48="Y",1,0)),0)</f>
        <v>60000</v>
      </c>
      <c r="AC48" s="30" t="n">
        <f aca="false">IFERROR(AB48/X48,0)</f>
        <v>1.04538189302558</v>
      </c>
      <c r="AD48" s="4" t="str">
        <f aca="false">IF(ISNUMBER(SEARCH("Mobile",E48)),"EXCLUDED",IF(AB48&gt;=Y48,"PASS",IF(AB48&gt;=X48,"MARGINAL","FAIL")))</f>
        <v>MARGINAL</v>
      </c>
      <c r="AE48" s="26" t="s">
        <v>571</v>
      </c>
    </row>
    <row r="49" customFormat="false" ht="15" hidden="false" customHeight="false" outlineLevel="0" collapsed="false">
      <c r="A49" s="36" t="s">
        <v>572</v>
      </c>
      <c r="B49" s="36" t="s">
        <v>331</v>
      </c>
      <c r="C49" s="36" t="s">
        <v>85</v>
      </c>
      <c r="D49" s="36" t="s">
        <v>485</v>
      </c>
      <c r="E49" s="36" t="s">
        <v>506</v>
      </c>
      <c r="F49" s="36" t="n">
        <v>4</v>
      </c>
      <c r="G49" s="36" t="n">
        <v>3</v>
      </c>
      <c r="H49" s="55" t="n">
        <v>2118</v>
      </c>
      <c r="I49" s="34" t="n">
        <v>2007</v>
      </c>
      <c r="J49" s="37" t="n">
        <v>499000</v>
      </c>
      <c r="K49" s="34" t="n">
        <v>164</v>
      </c>
      <c r="L49" s="36" t="s">
        <v>573</v>
      </c>
      <c r="M49" s="37" t="n">
        <v>300000</v>
      </c>
      <c r="N49" s="37" t="n">
        <v>221031</v>
      </c>
      <c r="O49" s="36" t="s">
        <v>448</v>
      </c>
      <c r="P49" s="36" t="s">
        <v>154</v>
      </c>
      <c r="Q49" s="36" t="s">
        <v>145</v>
      </c>
      <c r="R49" s="36" t="s">
        <v>71</v>
      </c>
      <c r="S49" s="36" t="s">
        <v>508</v>
      </c>
      <c r="T49" s="39" t="n">
        <f aca="false">Assumptions!$C$15</f>
        <v>0.25</v>
      </c>
      <c r="U49" s="40" t="n">
        <f aca="false">J49*(1-T49)</f>
        <v>374250</v>
      </c>
      <c r="V49" s="41" t="n">
        <f aca="false">IF((1-T49)&gt;0.75,Assumptions!$C$11,IF((1-T49)&gt;0.7,Assumptions!$C$12,Assumptions!$C$13))</f>
        <v>0.0725</v>
      </c>
      <c r="W49" s="40" t="n">
        <f aca="false">PMT(V49/12,Assumptions!$C$14,-U49)+J49*INDEX(Assumptions!$C$28:$C$34,MATCH(C49,Assumptions!$B$28:$B$34,0))/12+(INDEX(Assumptions!$D$28:$D$34,MATCH(C49,Assumptions!$B$28:$B$34,0))+INDEX(Assumptions!$C$22:$C$25,MATCH(R49,Assumptions!$B$22:$B$25,0)))/12</f>
        <v>4218.2947281103</v>
      </c>
      <c r="X49" s="40" t="n">
        <f aca="false">W49*12*$B$18/Assumptions!$C$18</f>
        <v>63274.4209216545</v>
      </c>
      <c r="Y49" s="40" t="n">
        <f aca="false">W49*12*$B$19/Assumptions!$C$18</f>
        <v>79093.0261520681</v>
      </c>
      <c r="Z49" s="40" t="n">
        <f aca="false">J49*(T49+Assumptions!$C$16)</f>
        <v>144710</v>
      </c>
      <c r="AA49" s="56" t="n">
        <f aca="false">IF(ISNUMBER(F49),F49,IF(H49&gt;=2000,4,3))</f>
        <v>4</v>
      </c>
      <c r="AB49" s="40" t="n">
        <f aca="false">IFERROR(INDEX($E$18:$H$25,MATCH(D49,$D$18:$D$25,0),1+IF(AA49&gt;=4,2,0)+IF(Q49="Y",1,0)),0)</f>
        <v>65000</v>
      </c>
      <c r="AC49" s="42" t="n">
        <f aca="false">IFERROR(AB49/X49,0)</f>
        <v>1.02727135315046</v>
      </c>
      <c r="AD49" s="57" t="str">
        <f aca="false">IF(ISNUMBER(SEARCH("Mobile",E49)),"EXCLUDED",IF(AB49&gt;=Y49,"PASS",IF(AB49&gt;=X49,"MARGINAL","FAIL")))</f>
        <v>MARGINAL</v>
      </c>
      <c r="AE49" s="35"/>
    </row>
    <row r="50" customFormat="false" ht="15" hidden="false" customHeight="false" outlineLevel="0" collapsed="false">
      <c r="A50" s="27" t="s">
        <v>574</v>
      </c>
      <c r="B50" s="27" t="s">
        <v>338</v>
      </c>
      <c r="C50" s="27" t="s">
        <v>85</v>
      </c>
      <c r="D50" s="27" t="s">
        <v>485</v>
      </c>
      <c r="E50" s="27" t="s">
        <v>506</v>
      </c>
      <c r="F50" s="27" t="n">
        <v>4</v>
      </c>
      <c r="G50" s="27" t="n">
        <v>2</v>
      </c>
      <c r="H50" s="52" t="n">
        <v>2243</v>
      </c>
      <c r="I50" s="13" t="n">
        <v>1983</v>
      </c>
      <c r="J50" s="19" t="n">
        <v>549000</v>
      </c>
      <c r="K50" s="13" t="n">
        <v>234</v>
      </c>
      <c r="L50" s="27" t="s">
        <v>575</v>
      </c>
      <c r="M50" s="19" t="n">
        <v>600000</v>
      </c>
      <c r="N50" s="19" t="n">
        <v>324529</v>
      </c>
      <c r="O50" s="27" t="s">
        <v>458</v>
      </c>
      <c r="P50" s="27" t="s">
        <v>154</v>
      </c>
      <c r="Q50" s="27" t="s">
        <v>145</v>
      </c>
      <c r="R50" s="27" t="s">
        <v>69</v>
      </c>
      <c r="S50" s="27" t="s">
        <v>508</v>
      </c>
      <c r="T50" s="28" t="n">
        <f aca="false">Assumptions!$C$15</f>
        <v>0.25</v>
      </c>
      <c r="U50" s="21" t="n">
        <f aca="false">J50*(1-T50)</f>
        <v>411750</v>
      </c>
      <c r="V50" s="29" t="n">
        <f aca="false">IF((1-T50)&gt;0.75,Assumptions!$C$11,IF((1-T50)&gt;0.7,Assumptions!$C$12,Assumptions!$C$13))</f>
        <v>0.0725</v>
      </c>
      <c r="W50" s="21" t="n">
        <f aca="false">PMT(V50/12,Assumptions!$C$14,-U50)+J50*INDEX(Assumptions!$C$28:$C$34,MATCH(C50,Assumptions!$B$28:$B$34,0))/12+(INDEX(Assumptions!$D$28:$D$34,MATCH(C50,Assumptions!$B$28:$B$34,0))+INDEX(Assumptions!$C$22:$C$25,MATCH(R50,Assumptions!$B$22:$B$25,0)))/12</f>
        <v>4253.27749979804</v>
      </c>
      <c r="X50" s="21" t="n">
        <f aca="false">W50*12*$B$18/Assumptions!$C$18</f>
        <v>63799.1624969705</v>
      </c>
      <c r="Y50" s="21" t="n">
        <f aca="false">W50*12*$B$19/Assumptions!$C$18</f>
        <v>79748.9531212132</v>
      </c>
      <c r="Z50" s="21" t="n">
        <f aca="false">J50*(T50+Assumptions!$C$16)</f>
        <v>159210</v>
      </c>
      <c r="AA50" s="53" t="n">
        <f aca="false">IF(ISNUMBER(F50),F50,IF(H50&gt;=2000,4,3))</f>
        <v>4</v>
      </c>
      <c r="AB50" s="21" t="n">
        <f aca="false">IFERROR(INDEX($E$18:$H$25,MATCH(D50,$D$18:$D$25,0),1+IF(AA50&gt;=4,2,0)+IF(Q50="Y",1,0)),0)</f>
        <v>65000</v>
      </c>
      <c r="AC50" s="30" t="n">
        <f aca="false">IFERROR(AB50/X50,0)</f>
        <v>1.01882215151471</v>
      </c>
      <c r="AD50" s="4" t="str">
        <f aca="false">IF(ISNUMBER(SEARCH("Mobile",E50)),"EXCLUDED",IF(AB50&gt;=Y50,"PASS",IF(AB50&gt;=X50,"MARGINAL","FAIL")))</f>
        <v>MARGINAL</v>
      </c>
      <c r="AE50" s="26"/>
    </row>
    <row r="51" customFormat="false" ht="15" hidden="false" customHeight="false" outlineLevel="0" collapsed="false">
      <c r="A51" s="36" t="s">
        <v>576</v>
      </c>
      <c r="B51" s="36" t="s">
        <v>331</v>
      </c>
      <c r="C51" s="36" t="s">
        <v>85</v>
      </c>
      <c r="D51" s="36" t="s">
        <v>485</v>
      </c>
      <c r="E51" s="36" t="s">
        <v>506</v>
      </c>
      <c r="F51" s="36" t="n">
        <v>3</v>
      </c>
      <c r="G51" s="36" t="n">
        <v>2</v>
      </c>
      <c r="H51" s="55" t="n">
        <v>1537</v>
      </c>
      <c r="I51" s="34" t="n">
        <v>2000</v>
      </c>
      <c r="J51" s="37" t="n">
        <v>405000</v>
      </c>
      <c r="K51" s="34" t="n">
        <v>11</v>
      </c>
      <c r="L51" s="36" t="s">
        <v>577</v>
      </c>
      <c r="M51" s="37" t="n">
        <v>136000</v>
      </c>
      <c r="N51" s="37" t="n">
        <v>284331</v>
      </c>
      <c r="O51" s="36" t="s">
        <v>448</v>
      </c>
      <c r="P51" s="36" t="s">
        <v>154</v>
      </c>
      <c r="Q51" s="36" t="s">
        <v>145</v>
      </c>
      <c r="R51" s="36" t="s">
        <v>71</v>
      </c>
      <c r="S51" s="36" t="s">
        <v>508</v>
      </c>
      <c r="T51" s="39" t="n">
        <f aca="false">Assumptions!$C$15</f>
        <v>0.25</v>
      </c>
      <c r="U51" s="40" t="n">
        <f aca="false">J51*(1-T51)</f>
        <v>303750</v>
      </c>
      <c r="V51" s="41" t="n">
        <f aca="false">IF((1-T51)&gt;0.75,Assumptions!$C$11,IF((1-T51)&gt;0.7,Assumptions!$C$12,Assumptions!$C$13))</f>
        <v>0.0725</v>
      </c>
      <c r="W51" s="40" t="n">
        <f aca="false">PMT(V51/12,Assumptions!$C$14,-U51)+J51*INDEX(Assumptions!$C$28:$C$34,MATCH(C51,Assumptions!$B$28:$B$34,0))/12+(INDEX(Assumptions!$D$28:$D$34,MATCH(C51,Assumptions!$B$28:$B$34,0))+INDEX(Assumptions!$C$22:$C$25,MATCH(R51,Assumptions!$B$22:$B$25,0)))/12</f>
        <v>3604.19378400402</v>
      </c>
      <c r="X51" s="40" t="n">
        <f aca="false">W51*12*$B$18/Assumptions!$C$18</f>
        <v>54062.9067600602</v>
      </c>
      <c r="Y51" s="40" t="n">
        <f aca="false">W51*12*$B$19/Assumptions!$C$18</f>
        <v>67578.6334500753</v>
      </c>
      <c r="Z51" s="40" t="n">
        <f aca="false">J51*(T51+Assumptions!$C$16)</f>
        <v>117450</v>
      </c>
      <c r="AA51" s="56" t="n">
        <f aca="false">IF(ISNUMBER(F51),F51,IF(H51&gt;=2000,4,3))</f>
        <v>3</v>
      </c>
      <c r="AB51" s="40" t="n">
        <f aca="false">IFERROR(INDEX($E$18:$H$25,MATCH(D51,$D$18:$D$25,0),1+IF(AA51&gt;=4,2,0)+IF(Q51="Y",1,0)),0)</f>
        <v>55000</v>
      </c>
      <c r="AC51" s="42" t="n">
        <f aca="false">IFERROR(AB51/X51,0)</f>
        <v>1.01733338616251</v>
      </c>
      <c r="AD51" s="57" t="str">
        <f aca="false">IF(ISNUMBER(SEARCH("Mobile",E51)),"EXCLUDED",IF(AB51&gt;=Y51,"PASS",IF(AB51&gt;=X51,"MARGINAL","FAIL")))</f>
        <v>MARGINAL</v>
      </c>
      <c r="AE51" s="35"/>
    </row>
    <row r="52" customFormat="false" ht="23.85" hidden="false" customHeight="false" outlineLevel="0" collapsed="false">
      <c r="A52" s="27" t="s">
        <v>578</v>
      </c>
      <c r="B52" s="27" t="s">
        <v>579</v>
      </c>
      <c r="C52" s="27" t="s">
        <v>18</v>
      </c>
      <c r="D52" s="27" t="s">
        <v>484</v>
      </c>
      <c r="E52" s="27" t="s">
        <v>552</v>
      </c>
      <c r="F52" s="27"/>
      <c r="G52" s="27"/>
      <c r="H52" s="52" t="n">
        <v>3160</v>
      </c>
      <c r="I52" s="13" t="n">
        <v>1993</v>
      </c>
      <c r="J52" s="19" t="n">
        <v>430000</v>
      </c>
      <c r="K52" s="13" t="n">
        <v>188</v>
      </c>
      <c r="L52" s="27" t="s">
        <v>580</v>
      </c>
      <c r="M52" s="19" t="n">
        <v>136500</v>
      </c>
      <c r="N52" s="19" t="n">
        <v>425637</v>
      </c>
      <c r="O52" s="27" t="s">
        <v>458</v>
      </c>
      <c r="P52" s="27" t="s">
        <v>154</v>
      </c>
      <c r="Q52" s="27" t="s">
        <v>154</v>
      </c>
      <c r="R52" s="27" t="s">
        <v>69</v>
      </c>
      <c r="S52" s="27" t="s">
        <v>532</v>
      </c>
      <c r="T52" s="28" t="n">
        <f aca="false">Assumptions!$C$15</f>
        <v>0.25</v>
      </c>
      <c r="U52" s="21" t="n">
        <f aca="false">J52*(1-T52)</f>
        <v>322500</v>
      </c>
      <c r="V52" s="29" t="n">
        <f aca="false">IF((1-T52)&gt;0.75,Assumptions!$C$11,IF((1-T52)&gt;0.7,Assumptions!$C$12,Assumptions!$C$13))</f>
        <v>0.0725</v>
      </c>
      <c r="W52" s="21" t="n">
        <f aca="false">PMT(V52/12,Assumptions!$C$14,-U52)+J52*INDEX(Assumptions!$C$28:$C$34,MATCH(C52,Assumptions!$B$28:$B$34,0))/12+(INDEX(Assumptions!$D$28:$D$34,MATCH(C52,Assumptions!$B$28:$B$34,0))+INDEX(Assumptions!$C$22:$C$25,MATCH(R52,Assumptions!$B$22:$B$25,0)))/12</f>
        <v>3440.01850318122</v>
      </c>
      <c r="X52" s="21" t="n">
        <f aca="false">W52*12*$B$18/Assumptions!$C$18</f>
        <v>51600.2775477183</v>
      </c>
      <c r="Y52" s="21" t="n">
        <f aca="false">W52*12*$B$19/Assumptions!$C$18</f>
        <v>64500.3469346479</v>
      </c>
      <c r="Z52" s="21" t="n">
        <f aca="false">J52*(T52+Assumptions!$C$16)</f>
        <v>124700</v>
      </c>
      <c r="AA52" s="53" t="n">
        <f aca="false">IF(ISNUMBER(F52),F52,IF(H52&gt;=2000,4,3))</f>
        <v>4</v>
      </c>
      <c r="AB52" s="21" t="n">
        <f aca="false">IFERROR(INDEX($E$18:$H$25,MATCH(D52,$D$18:$D$25,0),1+IF(AA52&gt;=4,2,0)+IF(Q52="Y",1,0)),0)</f>
        <v>52000</v>
      </c>
      <c r="AC52" s="30" t="n">
        <f aca="false">IFERROR(AB52/X52,0)</f>
        <v>1.00774651748553</v>
      </c>
      <c r="AD52" s="4" t="str">
        <f aca="false">IF(ISNUMBER(SEARCH("Mobile",E52)),"EXCLUDED",IF(AB52&gt;=Y52,"PASS",IF(AB52&gt;=X52,"MARGINAL","FAIL")))</f>
        <v>MARGINAL</v>
      </c>
      <c r="AE52" s="26" t="s">
        <v>546</v>
      </c>
    </row>
    <row r="53" customFormat="false" ht="15" hidden="false" customHeight="false" outlineLevel="0" collapsed="false">
      <c r="A53" s="36" t="s">
        <v>581</v>
      </c>
      <c r="B53" s="36" t="s">
        <v>331</v>
      </c>
      <c r="C53" s="36" t="s">
        <v>85</v>
      </c>
      <c r="D53" s="36" t="s">
        <v>485</v>
      </c>
      <c r="E53" s="36" t="s">
        <v>506</v>
      </c>
      <c r="F53" s="36" t="n">
        <v>3</v>
      </c>
      <c r="G53" s="36" t="n">
        <v>2.5</v>
      </c>
      <c r="H53" s="55" t="n">
        <v>2251</v>
      </c>
      <c r="I53" s="34" t="n">
        <v>2006</v>
      </c>
      <c r="J53" s="37" t="n">
        <v>454999</v>
      </c>
      <c r="K53" s="34" t="n">
        <v>46</v>
      </c>
      <c r="L53" s="36" t="s">
        <v>582</v>
      </c>
      <c r="M53" s="37" t="n">
        <v>64900</v>
      </c>
      <c r="N53" s="37" t="n">
        <v>527195</v>
      </c>
      <c r="O53" s="36" t="s">
        <v>515</v>
      </c>
      <c r="P53" s="36" t="s">
        <v>154</v>
      </c>
      <c r="Q53" s="36" t="s">
        <v>145</v>
      </c>
      <c r="R53" s="36" t="s">
        <v>69</v>
      </c>
      <c r="S53" s="36" t="s">
        <v>508</v>
      </c>
      <c r="T53" s="39" t="n">
        <f aca="false">Assumptions!$C$15</f>
        <v>0.25</v>
      </c>
      <c r="U53" s="40" t="n">
        <f aca="false">J53*(1-T53)</f>
        <v>341249.25</v>
      </c>
      <c r="V53" s="41" t="n">
        <f aca="false">IF((1-T53)&gt;0.75,Assumptions!$C$11,IF((1-T53)&gt;0.7,Assumptions!$C$12,Assumptions!$C$13))</f>
        <v>0.0725</v>
      </c>
      <c r="W53" s="40" t="n">
        <f aca="false">PMT(V53/12,Assumptions!$C$14,-U53)+J53*INDEX(Assumptions!$C$28:$C$34,MATCH(C53,Assumptions!$B$28:$B$34,0))/12+(INDEX(Assumptions!$D$28:$D$34,MATCH(C53,Assumptions!$B$28:$B$34,0))+INDEX(Assumptions!$C$22:$C$25,MATCH(R53,Assumptions!$B$22:$B$25,0)))/12</f>
        <v>3639.17002270299</v>
      </c>
      <c r="X53" s="40" t="n">
        <f aca="false">W53*12*$B$18/Assumptions!$C$18</f>
        <v>54587.5503405448</v>
      </c>
      <c r="Y53" s="40" t="n">
        <f aca="false">W53*12*$B$19/Assumptions!$C$18</f>
        <v>68234.437925681</v>
      </c>
      <c r="Z53" s="40" t="n">
        <f aca="false">J53*(T53+Assumptions!$C$16)</f>
        <v>131949.71</v>
      </c>
      <c r="AA53" s="56" t="n">
        <f aca="false">IF(ISNUMBER(F53),F53,IF(H53&gt;=2000,4,3))</f>
        <v>3</v>
      </c>
      <c r="AB53" s="40" t="n">
        <f aca="false">IFERROR(INDEX($E$18:$H$25,MATCH(D53,$D$18:$D$25,0),1+IF(AA53&gt;=4,2,0)+IF(Q53="Y",1,0)),0)</f>
        <v>55000</v>
      </c>
      <c r="AC53" s="42" t="n">
        <f aca="false">IFERROR(AB53/X53,0)</f>
        <v>1.00755574589594</v>
      </c>
      <c r="AD53" s="57" t="str">
        <f aca="false">IF(ISNUMBER(SEARCH("Mobile",E53)),"EXCLUDED",IF(AB53&gt;=Y53,"PASS",IF(AB53&gt;=X53,"MARGINAL","FAIL")))</f>
        <v>MARGINAL</v>
      </c>
      <c r="AE53" s="35"/>
    </row>
    <row r="54" customFormat="false" ht="23.85" hidden="false" customHeight="false" outlineLevel="0" collapsed="false">
      <c r="A54" s="27" t="s">
        <v>583</v>
      </c>
      <c r="B54" s="27" t="s">
        <v>141</v>
      </c>
      <c r="C54" s="27" t="s">
        <v>80</v>
      </c>
      <c r="D54" s="27" t="s">
        <v>477</v>
      </c>
      <c r="E54" s="27" t="s">
        <v>506</v>
      </c>
      <c r="F54" s="27" t="n">
        <v>3</v>
      </c>
      <c r="G54" s="27" t="n">
        <v>3</v>
      </c>
      <c r="H54" s="52" t="n">
        <v>1973</v>
      </c>
      <c r="I54" s="13" t="n">
        <v>1983</v>
      </c>
      <c r="J54" s="19" t="n">
        <v>499999</v>
      </c>
      <c r="K54" s="13" t="n">
        <v>174</v>
      </c>
      <c r="L54" s="27" t="s">
        <v>584</v>
      </c>
      <c r="M54" s="19" t="n">
        <v>340000</v>
      </c>
      <c r="N54" s="19" t="n">
        <v>485932</v>
      </c>
      <c r="O54" s="27" t="s">
        <v>448</v>
      </c>
      <c r="P54" s="27" t="s">
        <v>154</v>
      </c>
      <c r="Q54" s="27" t="s">
        <v>145</v>
      </c>
      <c r="R54" s="27" t="s">
        <v>69</v>
      </c>
      <c r="S54" s="27" t="s">
        <v>527</v>
      </c>
      <c r="T54" s="28" t="n">
        <f aca="false">Assumptions!$C$15</f>
        <v>0.25</v>
      </c>
      <c r="U54" s="21" t="n">
        <f aca="false">J54*(1-T54)</f>
        <v>374999.25</v>
      </c>
      <c r="V54" s="29" t="n">
        <f aca="false">IF((1-T54)&gt;0.75,Assumptions!$C$11,IF((1-T54)&gt;0.7,Assumptions!$C$12,Assumptions!$C$13))</f>
        <v>0.0725</v>
      </c>
      <c r="W54" s="21" t="n">
        <f aca="false">PMT(V54/12,Assumptions!$C$14,-U54)+J54*INDEX(Assumptions!$C$28:$C$34,MATCH(C54,Assumptions!$B$28:$B$34,0))/12+(INDEX(Assumptions!$D$28:$D$34,MATCH(C54,Assumptions!$B$28:$B$34,0))+INDEX(Assumptions!$C$22:$C$25,MATCH(R54,Assumptions!$B$22:$B$25,0)))/12</f>
        <v>3849.82135055529</v>
      </c>
      <c r="X54" s="21" t="n">
        <f aca="false">W54*12*$B$18/Assumptions!$C$18</f>
        <v>57747.3202583293</v>
      </c>
      <c r="Y54" s="21" t="n">
        <f aca="false">W54*12*$B$19/Assumptions!$C$18</f>
        <v>72184.1503229116</v>
      </c>
      <c r="Z54" s="21" t="n">
        <f aca="false">J54*(T54+Assumptions!$C$16)</f>
        <v>144999.71</v>
      </c>
      <c r="AA54" s="53" t="n">
        <f aca="false">IF(ISNUMBER(F54),F54,IF(H54&gt;=2000,4,3))</f>
        <v>3</v>
      </c>
      <c r="AB54" s="21" t="n">
        <f aca="false">IFERROR(INDEX($E$18:$H$25,MATCH(D54,$D$18:$D$25,0),1+IF(AA54&gt;=4,2,0)+IF(Q54="Y",1,0)),0)</f>
        <v>58000</v>
      </c>
      <c r="AC54" s="30" t="n">
        <f aca="false">IFERROR(AB54/X54,0)</f>
        <v>1.00437560982121</v>
      </c>
      <c r="AD54" s="4" t="str">
        <f aca="false">IF(ISNUMBER(SEARCH("Mobile",E54)),"EXCLUDED",IF(AB54&gt;=Y54,"PASS",IF(AB54&gt;=X54,"MARGINAL","FAIL")))</f>
        <v>MARGINAL</v>
      </c>
      <c r="AE54" s="26" t="s">
        <v>585</v>
      </c>
    </row>
    <row r="55" customFormat="false" ht="15" hidden="false" customHeight="false" outlineLevel="0" collapsed="false">
      <c r="A55" s="36" t="s">
        <v>586</v>
      </c>
      <c r="B55" s="36" t="s">
        <v>338</v>
      </c>
      <c r="C55" s="36" t="s">
        <v>85</v>
      </c>
      <c r="D55" s="36" t="s">
        <v>485</v>
      </c>
      <c r="E55" s="36" t="s">
        <v>506</v>
      </c>
      <c r="F55" s="36" t="n">
        <v>3</v>
      </c>
      <c r="G55" s="36" t="n">
        <v>3</v>
      </c>
      <c r="H55" s="55" t="n">
        <v>2042</v>
      </c>
      <c r="I55" s="34" t="n">
        <v>1979</v>
      </c>
      <c r="J55" s="37" t="n">
        <v>430000</v>
      </c>
      <c r="K55" s="34" t="n">
        <v>52</v>
      </c>
      <c r="L55" s="36" t="s">
        <v>587</v>
      </c>
      <c r="M55" s="37" t="n">
        <v>280000</v>
      </c>
      <c r="N55" s="37" t="n">
        <v>178695</v>
      </c>
      <c r="O55" s="36" t="s">
        <v>458</v>
      </c>
      <c r="P55" s="36" t="s">
        <v>154</v>
      </c>
      <c r="Q55" s="36" t="s">
        <v>145</v>
      </c>
      <c r="R55" s="36" t="s">
        <v>71</v>
      </c>
      <c r="S55" s="36" t="s">
        <v>508</v>
      </c>
      <c r="T55" s="39" t="n">
        <f aca="false">Assumptions!$C$15</f>
        <v>0.25</v>
      </c>
      <c r="U55" s="40" t="n">
        <f aca="false">J55*(1-T55)</f>
        <v>322500</v>
      </c>
      <c r="V55" s="41" t="n">
        <f aca="false">IF((1-T55)&gt;0.75,Assumptions!$C$11,IF((1-T55)&gt;0.7,Assumptions!$C$12,Assumptions!$C$13))</f>
        <v>0.0725</v>
      </c>
      <c r="W55" s="40" t="n">
        <f aca="false">PMT(V55/12,Assumptions!$C$14,-U55)+J55*INDEX(Assumptions!$C$28:$C$34,MATCH(C55,Assumptions!$B$28:$B$34,0))/12+(INDEX(Assumptions!$D$28:$D$34,MATCH(C55,Assumptions!$B$28:$B$34,0))+INDEX(Assumptions!$C$22:$C$25,MATCH(R55,Assumptions!$B$22:$B$25,0)))/12</f>
        <v>3767.51850318122</v>
      </c>
      <c r="X55" s="40" t="n">
        <f aca="false">W55*12*$B$18/Assumptions!$C$18</f>
        <v>56512.7775477183</v>
      </c>
      <c r="Y55" s="40" t="n">
        <f aca="false">W55*12*$B$19/Assumptions!$C$18</f>
        <v>70640.9719346479</v>
      </c>
      <c r="Z55" s="40" t="n">
        <f aca="false">J55*(T55+Assumptions!$C$16)</f>
        <v>124700</v>
      </c>
      <c r="AA55" s="56" t="n">
        <f aca="false">IF(ISNUMBER(F55),F55,IF(H55&gt;=2000,4,3))</f>
        <v>3</v>
      </c>
      <c r="AB55" s="40" t="n">
        <f aca="false">IFERROR(INDEX($E$18:$H$25,MATCH(D55,$D$18:$D$25,0),1+IF(AA55&gt;=4,2,0)+IF(Q55="Y",1,0)),0)</f>
        <v>55000</v>
      </c>
      <c r="AC55" s="42" t="n">
        <f aca="false">IFERROR(AB55/X55,0)</f>
        <v>0.973231229938381</v>
      </c>
      <c r="AD55" s="57" t="str">
        <f aca="false">IF(ISNUMBER(SEARCH("Mobile",E55)),"EXCLUDED",IF(AB55&gt;=Y55,"PASS",IF(AB55&gt;=X55,"MARGINAL","FAIL")))</f>
        <v>FAIL</v>
      </c>
      <c r="AE55" s="35"/>
    </row>
    <row r="56" customFormat="false" ht="23.85" hidden="false" customHeight="false" outlineLevel="0" collapsed="false">
      <c r="A56" s="27" t="s">
        <v>588</v>
      </c>
      <c r="B56" s="27" t="s">
        <v>540</v>
      </c>
      <c r="C56" s="27" t="s">
        <v>18</v>
      </c>
      <c r="D56" s="27" t="s">
        <v>484</v>
      </c>
      <c r="E56" s="27" t="s">
        <v>506</v>
      </c>
      <c r="F56" s="27"/>
      <c r="G56" s="27" t="n">
        <v>2</v>
      </c>
      <c r="H56" s="52" t="n">
        <v>1253</v>
      </c>
      <c r="I56" s="13" t="n">
        <v>1957</v>
      </c>
      <c r="J56" s="19" t="n">
        <v>375000</v>
      </c>
      <c r="K56" s="13" t="n">
        <v>89</v>
      </c>
      <c r="L56" s="27" t="s">
        <v>589</v>
      </c>
      <c r="M56" s="19" t="n">
        <v>105000</v>
      </c>
      <c r="N56" s="19" t="n">
        <v>365047</v>
      </c>
      <c r="O56" s="27" t="s">
        <v>448</v>
      </c>
      <c r="P56" s="27" t="s">
        <v>154</v>
      </c>
      <c r="Q56" s="27" t="s">
        <v>154</v>
      </c>
      <c r="R56" s="27" t="s">
        <v>69</v>
      </c>
      <c r="S56" s="27" t="s">
        <v>532</v>
      </c>
      <c r="T56" s="28" t="n">
        <f aca="false">Assumptions!$C$15</f>
        <v>0.25</v>
      </c>
      <c r="U56" s="21" t="n">
        <f aca="false">J56*(1-T56)</f>
        <v>281250</v>
      </c>
      <c r="V56" s="29" t="n">
        <f aca="false">IF((1-T56)&gt;0.75,Assumptions!$C$11,IF((1-T56)&gt;0.7,Assumptions!$C$12,Assumptions!$C$13))</f>
        <v>0.0725</v>
      </c>
      <c r="W56" s="21" t="n">
        <f aca="false">PMT(V56/12,Assumptions!$C$14,-U56)+J56*INDEX(Assumptions!$C$28:$C$34,MATCH(C56,Assumptions!$B$28:$B$34,0))/12+(INDEX(Assumptions!$D$28:$D$34,MATCH(C56,Assumptions!$B$28:$B$34,0))+INDEX(Assumptions!$C$22:$C$25,MATCH(R56,Assumptions!$B$22:$B$25,0)))/12</f>
        <v>3085.28745432471</v>
      </c>
      <c r="X56" s="21" t="n">
        <f aca="false">W56*12*$B$18/Assumptions!$C$18</f>
        <v>46279.3118148706</v>
      </c>
      <c r="Y56" s="21" t="n">
        <f aca="false">W56*12*$B$19/Assumptions!$C$18</f>
        <v>57849.1397685883</v>
      </c>
      <c r="Z56" s="21" t="n">
        <f aca="false">J56*(T56+Assumptions!$C$16)</f>
        <v>108750</v>
      </c>
      <c r="AA56" s="53" t="n">
        <f aca="false">IF(ISNUMBER(F56),F56,IF(H56&gt;=2000,4,3))</f>
        <v>3</v>
      </c>
      <c r="AB56" s="21" t="n">
        <f aca="false">IFERROR(INDEX($E$18:$H$25,MATCH(D56,$D$18:$D$25,0),1+IF(AA56&gt;=4,2,0)+IF(Q56="Y",1,0)),0)</f>
        <v>45000</v>
      </c>
      <c r="AC56" s="30" t="n">
        <f aca="false">IFERROR(AB56/X56,0)</f>
        <v>0.972356723453707</v>
      </c>
      <c r="AD56" s="4" t="str">
        <f aca="false">IF(ISNUMBER(SEARCH("Mobile",E56)),"EXCLUDED",IF(AB56&gt;=Y56,"PASS",IF(AB56&gt;=X56,"MARGINAL","FAIL")))</f>
        <v>FAIL</v>
      </c>
      <c r="AE56" s="26" t="s">
        <v>546</v>
      </c>
    </row>
    <row r="57" customFormat="false" ht="15" hidden="false" customHeight="false" outlineLevel="0" collapsed="false">
      <c r="A57" s="36" t="s">
        <v>590</v>
      </c>
      <c r="B57" s="36" t="s">
        <v>331</v>
      </c>
      <c r="C57" s="36" t="s">
        <v>85</v>
      </c>
      <c r="D57" s="36" t="s">
        <v>485</v>
      </c>
      <c r="E57" s="36" t="s">
        <v>506</v>
      </c>
      <c r="F57" s="36" t="n">
        <v>4</v>
      </c>
      <c r="G57" s="36" t="n">
        <v>2</v>
      </c>
      <c r="H57" s="55" t="n">
        <v>1711</v>
      </c>
      <c r="I57" s="34" t="n">
        <v>2004</v>
      </c>
      <c r="J57" s="37" t="n">
        <v>539000</v>
      </c>
      <c r="K57" s="34" t="n">
        <v>152</v>
      </c>
      <c r="L57" s="36" t="s">
        <v>591</v>
      </c>
      <c r="M57" s="37" t="n">
        <v>512000</v>
      </c>
      <c r="N57" s="37" t="n">
        <v>170897</v>
      </c>
      <c r="O57" s="36" t="s">
        <v>448</v>
      </c>
      <c r="P57" s="36" t="s">
        <v>154</v>
      </c>
      <c r="Q57" s="36" t="s">
        <v>145</v>
      </c>
      <c r="R57" s="36" t="s">
        <v>71</v>
      </c>
      <c r="S57" s="36" t="s">
        <v>508</v>
      </c>
      <c r="T57" s="39" t="n">
        <f aca="false">Assumptions!$C$15</f>
        <v>0.25</v>
      </c>
      <c r="U57" s="40" t="n">
        <f aca="false">J57*(1-T57)</f>
        <v>404250</v>
      </c>
      <c r="V57" s="41" t="n">
        <f aca="false">IF((1-T57)&gt;0.75,Assumptions!$C$11,IF((1-T57)&gt;0.7,Assumptions!$C$12,Assumptions!$C$13))</f>
        <v>0.0725</v>
      </c>
      <c r="W57" s="40" t="n">
        <f aca="false">PMT(V57/12,Assumptions!$C$14,-U57)+J57*INDEX(Assumptions!$C$28:$C$34,MATCH(C57,Assumptions!$B$28:$B$34,0))/12+(INDEX(Assumptions!$D$28:$D$34,MATCH(C57,Assumptions!$B$28:$B$34,0))+INDEX(Assumptions!$C$22:$C$25,MATCH(R57,Assumptions!$B$22:$B$25,0)))/12</f>
        <v>4479.61427879382</v>
      </c>
      <c r="X57" s="40" t="n">
        <f aca="false">W57*12*$B$18/Assumptions!$C$18</f>
        <v>67194.2141819073</v>
      </c>
      <c r="Y57" s="40" t="n">
        <f aca="false">W57*12*$B$19/Assumptions!$C$18</f>
        <v>83992.7677273842</v>
      </c>
      <c r="Z57" s="40" t="n">
        <f aca="false">J57*(T57+Assumptions!$C$16)</f>
        <v>156310</v>
      </c>
      <c r="AA57" s="56" t="n">
        <f aca="false">IF(ISNUMBER(F57),F57,IF(H57&gt;=2000,4,3))</f>
        <v>4</v>
      </c>
      <c r="AB57" s="40" t="n">
        <f aca="false">IFERROR(INDEX($E$18:$H$25,MATCH(D57,$D$18:$D$25,0),1+IF(AA57&gt;=4,2,0)+IF(Q57="Y",1,0)),0)</f>
        <v>65000</v>
      </c>
      <c r="AC57" s="42" t="n">
        <f aca="false">IFERROR(AB57/X57,0)</f>
        <v>0.967345191715954</v>
      </c>
      <c r="AD57" s="57" t="str">
        <f aca="false">IF(ISNUMBER(SEARCH("Mobile",E57)),"EXCLUDED",IF(AB57&gt;=Y57,"PASS",IF(AB57&gt;=X57,"MARGINAL","FAIL")))</f>
        <v>FAIL</v>
      </c>
      <c r="AE57" s="35"/>
    </row>
    <row r="58" customFormat="false" ht="15" hidden="false" customHeight="false" outlineLevel="0" collapsed="false">
      <c r="A58" s="27" t="s">
        <v>592</v>
      </c>
      <c r="B58" s="27" t="s">
        <v>514</v>
      </c>
      <c r="C58" s="27" t="s">
        <v>82</v>
      </c>
      <c r="D58" s="27" t="s">
        <v>481</v>
      </c>
      <c r="E58" s="27" t="s">
        <v>506</v>
      </c>
      <c r="F58" s="27" t="n">
        <v>4</v>
      </c>
      <c r="G58" s="27" t="n">
        <v>2</v>
      </c>
      <c r="H58" s="52" t="n">
        <v>1818</v>
      </c>
      <c r="I58" s="13" t="n">
        <v>1971</v>
      </c>
      <c r="J58" s="19" t="n">
        <v>425000</v>
      </c>
      <c r="K58" s="13" t="n">
        <v>37</v>
      </c>
      <c r="L58" s="27" t="s">
        <v>593</v>
      </c>
      <c r="M58" s="19" t="n">
        <v>395000</v>
      </c>
      <c r="N58" s="19" t="n">
        <v>95500</v>
      </c>
      <c r="O58" s="27" t="s">
        <v>458</v>
      </c>
      <c r="P58" s="27" t="s">
        <v>154</v>
      </c>
      <c r="Q58" s="27" t="s">
        <v>154</v>
      </c>
      <c r="R58" s="27" t="s">
        <v>69</v>
      </c>
      <c r="S58" s="27" t="s">
        <v>516</v>
      </c>
      <c r="T58" s="28" t="n">
        <f aca="false">Assumptions!$C$15</f>
        <v>0.25</v>
      </c>
      <c r="U58" s="21" t="n">
        <f aca="false">J58*(1-T58)</f>
        <v>318750</v>
      </c>
      <c r="V58" s="29" t="n">
        <f aca="false">IF((1-T58)&gt;0.75,Assumptions!$C$11,IF((1-T58)&gt;0.7,Assumptions!$C$12,Assumptions!$C$13))</f>
        <v>0.0725</v>
      </c>
      <c r="W58" s="21" t="n">
        <f aca="false">PMT(V58/12,Assumptions!$C$14,-U58)+J58*INDEX(Assumptions!$C$28:$C$34,MATCH(C58,Assumptions!$B$28:$B$34,0))/12+(INDEX(Assumptions!$D$28:$D$34,MATCH(C58,Assumptions!$B$28:$B$34,0))+INDEX(Assumptions!$C$22:$C$25,MATCH(R58,Assumptions!$B$22:$B$25,0)))/12</f>
        <v>3319.22855934578</v>
      </c>
      <c r="X58" s="21" t="n">
        <f aca="false">W58*12*$B$18/Assumptions!$C$18</f>
        <v>49788.4283901867</v>
      </c>
      <c r="Y58" s="21" t="n">
        <f aca="false">W58*12*$B$19/Assumptions!$C$18</f>
        <v>62235.5354877333</v>
      </c>
      <c r="Z58" s="21" t="n">
        <f aca="false">J58*(T58+Assumptions!$C$16)</f>
        <v>123250</v>
      </c>
      <c r="AA58" s="53" t="n">
        <f aca="false">IF(ISNUMBER(F58),F58,IF(H58&gt;=2000,4,3))</f>
        <v>4</v>
      </c>
      <c r="AB58" s="21" t="n">
        <f aca="false">IFERROR(INDEX($E$18:$H$25,MATCH(D58,$D$18:$D$25,0),1+IF(AA58&gt;=4,2,0)+IF(Q58="Y",1,0)),0)</f>
        <v>48000</v>
      </c>
      <c r="AC58" s="30" t="n">
        <f aca="false">IFERROR(AB58/X58,0)</f>
        <v>0.964079436768501</v>
      </c>
      <c r="AD58" s="4" t="str">
        <f aca="false">IF(ISNUMBER(SEARCH("Mobile",E58)),"EXCLUDED",IF(AB58&gt;=Y58,"PASS",IF(AB58&gt;=X58,"MARGINAL","FAIL")))</f>
        <v>FAIL</v>
      </c>
      <c r="AE58" s="26"/>
    </row>
    <row r="59" customFormat="false" ht="15" hidden="false" customHeight="false" outlineLevel="0" collapsed="false">
      <c r="A59" s="36" t="s">
        <v>594</v>
      </c>
      <c r="B59" s="36" t="s">
        <v>595</v>
      </c>
      <c r="C59" s="36" t="s">
        <v>80</v>
      </c>
      <c r="D59" s="36" t="s">
        <v>480</v>
      </c>
      <c r="E59" s="36" t="s">
        <v>506</v>
      </c>
      <c r="F59" s="36" t="n">
        <v>3</v>
      </c>
      <c r="G59" s="36" t="n">
        <v>2</v>
      </c>
      <c r="H59" s="55" t="n">
        <v>1640</v>
      </c>
      <c r="I59" s="34" t="n">
        <v>1986</v>
      </c>
      <c r="J59" s="37" t="n">
        <v>395000</v>
      </c>
      <c r="K59" s="34" t="n">
        <v>230</v>
      </c>
      <c r="L59" s="36" t="s">
        <v>596</v>
      </c>
      <c r="M59" s="37" t="n">
        <v>135000</v>
      </c>
      <c r="N59" s="37" t="n">
        <v>422192</v>
      </c>
      <c r="O59" s="36" t="s">
        <v>448</v>
      </c>
      <c r="P59" s="36" t="s">
        <v>154</v>
      </c>
      <c r="Q59" s="36" t="s">
        <v>145</v>
      </c>
      <c r="R59" s="36" t="s">
        <v>69</v>
      </c>
      <c r="S59" s="36" t="s">
        <v>597</v>
      </c>
      <c r="T59" s="39" t="n">
        <f aca="false">Assumptions!$C$15</f>
        <v>0.25</v>
      </c>
      <c r="U59" s="40" t="n">
        <f aca="false">J59*(1-T59)</f>
        <v>296250</v>
      </c>
      <c r="V59" s="41" t="n">
        <f aca="false">IF((1-T59)&gt;0.75,Assumptions!$C$11,IF((1-T59)&gt;0.7,Assumptions!$C$12,Assumptions!$C$13))</f>
        <v>0.0725</v>
      </c>
      <c r="W59" s="40" t="n">
        <f aca="false">PMT(V59/12,Assumptions!$C$14,-U59)+J59*INDEX(Assumptions!$C$28:$C$34,MATCH(C59,Assumptions!$B$28:$B$34,0))/12+(INDEX(Assumptions!$D$28:$D$34,MATCH(C59,Assumptions!$B$28:$B$34,0))+INDEX(Assumptions!$C$22:$C$25,MATCH(R59,Assumptions!$B$22:$B$25,0)))/12</f>
        <v>3181.36389633314</v>
      </c>
      <c r="X59" s="40" t="n">
        <f aca="false">W59*12*$B$18/Assumptions!$C$18</f>
        <v>47720.458444997</v>
      </c>
      <c r="Y59" s="40" t="n">
        <f aca="false">W59*12*$B$19/Assumptions!$C$18</f>
        <v>59650.5730562463</v>
      </c>
      <c r="Z59" s="40" t="n">
        <f aca="false">J59*(T59+Assumptions!$C$16)</f>
        <v>114550</v>
      </c>
      <c r="AA59" s="56" t="n">
        <f aca="false">IF(ISNUMBER(F59),F59,IF(H59&gt;=2000,4,3))</f>
        <v>3</v>
      </c>
      <c r="AB59" s="40" t="n">
        <f aca="false">IFERROR(INDEX($E$18:$H$25,MATCH(D59,$D$18:$D$25,0),1+IF(AA59&gt;=4,2,0)+IF(Q59="Y",1,0)),0)</f>
        <v>46000</v>
      </c>
      <c r="AC59" s="42" t="n">
        <f aca="false">IFERROR(AB59/X59,0)</f>
        <v>0.963947151786481</v>
      </c>
      <c r="AD59" s="57" t="str">
        <f aca="false">IF(ISNUMBER(SEARCH("Mobile",E59)),"EXCLUDED",IF(AB59&gt;=Y59,"PASS",IF(AB59&gt;=X59,"MARGINAL","FAIL")))</f>
        <v>FAIL</v>
      </c>
      <c r="AE59" s="35"/>
    </row>
    <row r="60" customFormat="false" ht="15" hidden="false" customHeight="false" outlineLevel="0" collapsed="false">
      <c r="A60" s="27" t="s">
        <v>598</v>
      </c>
      <c r="B60" s="27" t="s">
        <v>331</v>
      </c>
      <c r="C60" s="27" t="s">
        <v>85</v>
      </c>
      <c r="D60" s="27" t="s">
        <v>485</v>
      </c>
      <c r="E60" s="27" t="s">
        <v>506</v>
      </c>
      <c r="F60" s="27" t="n">
        <v>4</v>
      </c>
      <c r="G60" s="27" t="n">
        <v>2</v>
      </c>
      <c r="H60" s="52" t="n">
        <v>2090</v>
      </c>
      <c r="I60" s="13" t="n">
        <v>2019</v>
      </c>
      <c r="J60" s="19" t="n">
        <v>541900</v>
      </c>
      <c r="K60" s="13" t="n">
        <v>65</v>
      </c>
      <c r="L60" s="27" t="s">
        <v>599</v>
      </c>
      <c r="M60" s="19" t="n">
        <v>257760</v>
      </c>
      <c r="N60" s="19" t="n">
        <v>265376</v>
      </c>
      <c r="O60" s="27" t="s">
        <v>458</v>
      </c>
      <c r="P60" s="27" t="s">
        <v>154</v>
      </c>
      <c r="Q60" s="27" t="s">
        <v>145</v>
      </c>
      <c r="R60" s="27" t="s">
        <v>71</v>
      </c>
      <c r="S60" s="27" t="s">
        <v>508</v>
      </c>
      <c r="T60" s="28" t="n">
        <f aca="false">Assumptions!$C$15</f>
        <v>0.25</v>
      </c>
      <c r="U60" s="21" t="n">
        <f aca="false">J60*(1-T60)</f>
        <v>406425</v>
      </c>
      <c r="V60" s="29" t="n">
        <f aca="false">IF((1-T60)&gt;0.75,Assumptions!$C$11,IF((1-T60)&gt;0.7,Assumptions!$C$12,Assumptions!$C$13))</f>
        <v>0.0725</v>
      </c>
      <c r="W60" s="21" t="n">
        <f aca="false">PMT(V60/12,Assumptions!$C$14,-U60)+J60*INDEX(Assumptions!$C$28:$C$34,MATCH(C60,Assumptions!$B$28:$B$34,0))/12+(INDEX(Assumptions!$D$28:$D$34,MATCH(C60,Assumptions!$B$28:$B$34,0))+INDEX(Assumptions!$C$22:$C$25,MATCH(R60,Assumptions!$B$22:$B$25,0)))/12</f>
        <v>4498.55994621838</v>
      </c>
      <c r="X60" s="21" t="n">
        <f aca="false">W60*12*$B$18/Assumptions!$C$18</f>
        <v>67478.3991932757</v>
      </c>
      <c r="Y60" s="21" t="n">
        <f aca="false">W60*12*$B$19/Assumptions!$C$18</f>
        <v>84347.9989915946</v>
      </c>
      <c r="Z60" s="21" t="n">
        <f aca="false">J60*(T60+Assumptions!$C$16)</f>
        <v>157151</v>
      </c>
      <c r="AA60" s="53" t="n">
        <f aca="false">IF(ISNUMBER(F60),F60,IF(H60&gt;=2000,4,3))</f>
        <v>4</v>
      </c>
      <c r="AB60" s="21" t="n">
        <f aca="false">IFERROR(INDEX($E$18:$H$25,MATCH(D60,$D$18:$D$25,0),1+IF(AA60&gt;=4,2,0)+IF(Q60="Y",1,0)),0)</f>
        <v>65000</v>
      </c>
      <c r="AC60" s="30" t="n">
        <f aca="false">IFERROR(AB60/X60,0)</f>
        <v>0.963271221266277</v>
      </c>
      <c r="AD60" s="4" t="str">
        <f aca="false">IF(ISNUMBER(SEARCH("Mobile",E60)),"EXCLUDED",IF(AB60&gt;=Y60,"PASS",IF(AB60&gt;=X60,"MARGINAL","FAIL")))</f>
        <v>FAIL</v>
      </c>
      <c r="AE60" s="26"/>
    </row>
    <row r="61" customFormat="false" ht="23.85" hidden="false" customHeight="false" outlineLevel="0" collapsed="false">
      <c r="A61" s="36" t="s">
        <v>600</v>
      </c>
      <c r="B61" s="36" t="s">
        <v>544</v>
      </c>
      <c r="C61" s="36" t="s">
        <v>18</v>
      </c>
      <c r="D61" s="36" t="s">
        <v>484</v>
      </c>
      <c r="E61" s="36" t="s">
        <v>506</v>
      </c>
      <c r="F61" s="36"/>
      <c r="G61" s="36" t="n">
        <v>2</v>
      </c>
      <c r="H61" s="55" t="n">
        <v>1264</v>
      </c>
      <c r="I61" s="34" t="n">
        <v>1979</v>
      </c>
      <c r="J61" s="37" t="n">
        <v>379900</v>
      </c>
      <c r="K61" s="34" t="n">
        <v>244</v>
      </c>
      <c r="L61" s="36" t="s">
        <v>601</v>
      </c>
      <c r="M61" s="37" t="n">
        <v>90000</v>
      </c>
      <c r="N61" s="37" t="n">
        <v>368929</v>
      </c>
      <c r="O61" s="36" t="s">
        <v>515</v>
      </c>
      <c r="P61" s="36" t="s">
        <v>154</v>
      </c>
      <c r="Q61" s="36" t="s">
        <v>154</v>
      </c>
      <c r="R61" s="36" t="s">
        <v>69</v>
      </c>
      <c r="S61" s="36" t="s">
        <v>520</v>
      </c>
      <c r="T61" s="39" t="n">
        <f aca="false">Assumptions!$C$15</f>
        <v>0.25</v>
      </c>
      <c r="U61" s="40" t="n">
        <f aca="false">J61*(1-T61)</f>
        <v>284925</v>
      </c>
      <c r="V61" s="41" t="n">
        <f aca="false">IF((1-T61)&gt;0.75,Assumptions!$C$11,IF((1-T61)&gt;0.7,Assumptions!$C$12,Assumptions!$C$13))</f>
        <v>0.0725</v>
      </c>
      <c r="W61" s="40" t="n">
        <f aca="false">PMT(V61/12,Assumptions!$C$14,-U61)+J61*INDEX(Assumptions!$C$28:$C$34,MATCH(C61,Assumptions!$B$28:$B$34,0))/12+(INDEX(Assumptions!$D$28:$D$34,MATCH(C61,Assumptions!$B$28:$B$34,0))+INDEX(Assumptions!$C$22:$C$25,MATCH(R61,Assumptions!$B$22:$B$25,0)))/12</f>
        <v>3116.8907659501</v>
      </c>
      <c r="X61" s="40" t="n">
        <f aca="false">W61*12*$B$18/Assumptions!$C$18</f>
        <v>46753.3614892516</v>
      </c>
      <c r="Y61" s="40" t="n">
        <f aca="false">W61*12*$B$19/Assumptions!$C$18</f>
        <v>58441.7018615645</v>
      </c>
      <c r="Z61" s="40" t="n">
        <f aca="false">J61*(T61+Assumptions!$C$16)</f>
        <v>110171</v>
      </c>
      <c r="AA61" s="56" t="n">
        <f aca="false">IF(ISNUMBER(F61),F61,IF(H61&gt;=2000,4,3))</f>
        <v>3</v>
      </c>
      <c r="AB61" s="40" t="n">
        <f aca="false">IFERROR(INDEX($E$18:$H$25,MATCH(D61,$D$18:$D$25,0),1+IF(AA61&gt;=4,2,0)+IF(Q61="Y",1,0)),0)</f>
        <v>45000</v>
      </c>
      <c r="AC61" s="42" t="n">
        <f aca="false">IFERROR(AB61/X61,0)</f>
        <v>0.962497637957975</v>
      </c>
      <c r="AD61" s="57" t="str">
        <f aca="false">IF(ISNUMBER(SEARCH("Mobile",E61)),"EXCLUDED",IF(AB61&gt;=Y61,"PASS",IF(AB61&gt;=X61,"MARGINAL","FAIL")))</f>
        <v>FAIL</v>
      </c>
      <c r="AE61" s="35" t="s">
        <v>546</v>
      </c>
    </row>
    <row r="62" customFormat="false" ht="15" hidden="false" customHeight="false" outlineLevel="0" collapsed="false">
      <c r="A62" s="27" t="s">
        <v>602</v>
      </c>
      <c r="B62" s="27" t="s">
        <v>150</v>
      </c>
      <c r="C62" s="27" t="s">
        <v>80</v>
      </c>
      <c r="D62" s="27" t="s">
        <v>477</v>
      </c>
      <c r="E62" s="27" t="s">
        <v>506</v>
      </c>
      <c r="F62" s="27" t="n">
        <v>3</v>
      </c>
      <c r="G62" s="27" t="n">
        <v>2</v>
      </c>
      <c r="H62" s="52" t="n">
        <v>1182</v>
      </c>
      <c r="I62" s="13" t="n">
        <v>1973</v>
      </c>
      <c r="J62" s="19" t="n">
        <v>384900</v>
      </c>
      <c r="K62" s="13" t="n">
        <v>74</v>
      </c>
      <c r="L62" s="27" t="s">
        <v>603</v>
      </c>
      <c r="M62" s="19" t="n">
        <v>181000</v>
      </c>
      <c r="N62" s="19" t="n">
        <v>279379</v>
      </c>
      <c r="O62" s="27" t="s">
        <v>453</v>
      </c>
      <c r="P62" s="27" t="s">
        <v>154</v>
      </c>
      <c r="Q62" s="27" t="s">
        <v>154</v>
      </c>
      <c r="R62" s="27" t="s">
        <v>69</v>
      </c>
      <c r="S62" s="27" t="s">
        <v>527</v>
      </c>
      <c r="T62" s="28" t="n">
        <f aca="false">Assumptions!$C$15</f>
        <v>0.25</v>
      </c>
      <c r="U62" s="21" t="n">
        <f aca="false">J62*(1-T62)</f>
        <v>288675</v>
      </c>
      <c r="V62" s="29" t="n">
        <f aca="false">IF((1-T62)&gt;0.75,Assumptions!$C$11,IF((1-T62)&gt;0.7,Assumptions!$C$12,Assumptions!$C$13))</f>
        <v>0.0725</v>
      </c>
      <c r="W62" s="21" t="n">
        <f aca="false">PMT(V62/12,Assumptions!$C$14,-U62)+J62*INDEX(Assumptions!$C$28:$C$34,MATCH(C62,Assumptions!$B$28:$B$34,0))/12+(INDEX(Assumptions!$D$28:$D$34,MATCH(C62,Assumptions!$B$28:$B$34,0))+INDEX(Assumptions!$C$22:$C$25,MATCH(R62,Assumptions!$B$22:$B$25,0)))/12</f>
        <v>3117.06404311888</v>
      </c>
      <c r="X62" s="21" t="n">
        <f aca="false">W62*12*$B$18/Assumptions!$C$18</f>
        <v>46755.9606467832</v>
      </c>
      <c r="Y62" s="21" t="n">
        <f aca="false">W62*12*$B$19/Assumptions!$C$18</f>
        <v>58444.950808479</v>
      </c>
      <c r="Z62" s="21" t="n">
        <f aca="false">J62*(T62+Assumptions!$C$16)</f>
        <v>111621</v>
      </c>
      <c r="AA62" s="53" t="n">
        <f aca="false">IF(ISNUMBER(F62),F62,IF(H62&gt;=2000,4,3))</f>
        <v>3</v>
      </c>
      <c r="AB62" s="21" t="n">
        <f aca="false">IFERROR(INDEX($E$18:$H$25,MATCH(D62,$D$18:$D$25,0),1+IF(AA62&gt;=4,2,0)+IF(Q62="Y",1,0)),0)</f>
        <v>45000</v>
      </c>
      <c r="AC62" s="30" t="n">
        <f aca="false">IFERROR(AB62/X62,0)</f>
        <v>0.962444132844397</v>
      </c>
      <c r="AD62" s="4" t="str">
        <f aca="false">IF(ISNUMBER(SEARCH("Mobile",E62)),"EXCLUDED",IF(AB62&gt;=Y62,"PASS",IF(AB62&gt;=X62,"MARGINAL","FAIL")))</f>
        <v>FAIL</v>
      </c>
      <c r="AE62" s="26"/>
    </row>
    <row r="63" customFormat="false" ht="15" hidden="false" customHeight="false" outlineLevel="0" collapsed="false">
      <c r="A63" s="36" t="s">
        <v>174</v>
      </c>
      <c r="B63" s="36" t="s">
        <v>158</v>
      </c>
      <c r="C63" s="36" t="s">
        <v>80</v>
      </c>
      <c r="D63" s="36" t="s">
        <v>477</v>
      </c>
      <c r="E63" s="36" t="s">
        <v>506</v>
      </c>
      <c r="F63" s="36" t="n">
        <v>3</v>
      </c>
      <c r="G63" s="36" t="n">
        <v>2</v>
      </c>
      <c r="H63" s="55" t="n">
        <v>1644</v>
      </c>
      <c r="I63" s="34" t="n">
        <v>1971</v>
      </c>
      <c r="J63" s="37" t="n">
        <v>529000</v>
      </c>
      <c r="K63" s="34" t="n">
        <v>65</v>
      </c>
      <c r="L63" s="36" t="s">
        <v>604</v>
      </c>
      <c r="M63" s="37" t="n">
        <v>525000</v>
      </c>
      <c r="N63" s="37" t="n">
        <v>109950</v>
      </c>
      <c r="O63" s="36" t="s">
        <v>448</v>
      </c>
      <c r="P63" s="36" t="s">
        <v>154</v>
      </c>
      <c r="Q63" s="36" t="s">
        <v>145</v>
      </c>
      <c r="R63" s="36" t="s">
        <v>69</v>
      </c>
      <c r="S63" s="36" t="s">
        <v>527</v>
      </c>
      <c r="T63" s="39" t="n">
        <f aca="false">Assumptions!$C$15</f>
        <v>0.25</v>
      </c>
      <c r="U63" s="40" t="n">
        <f aca="false">J63*(1-T63)</f>
        <v>396750</v>
      </c>
      <c r="V63" s="41" t="n">
        <f aca="false">IF((1-T63)&gt;0.75,Assumptions!$C$11,IF((1-T63)&gt;0.7,Assumptions!$C$12,Assumptions!$C$13))</f>
        <v>0.0725</v>
      </c>
      <c r="W63" s="40" t="n">
        <f aca="false">PMT(V63/12,Assumptions!$C$14,-U63)+J63*INDEX(Assumptions!$C$28:$C$34,MATCH(C63,Assumptions!$B$28:$B$34,0))/12+(INDEX(Assumptions!$D$28:$D$34,MATCH(C63,Assumptions!$B$28:$B$34,0))+INDEX(Assumptions!$C$22:$C$25,MATCH(R63,Assumptions!$B$22:$B$25,0)))/12</f>
        <v>4034.45105778961</v>
      </c>
      <c r="X63" s="40" t="n">
        <f aca="false">W63*12*$B$18/Assumptions!$C$18</f>
        <v>60516.7658668441</v>
      </c>
      <c r="Y63" s="40" t="n">
        <f aca="false">W63*12*$B$19/Assumptions!$C$18</f>
        <v>75645.9573335552</v>
      </c>
      <c r="Z63" s="40" t="n">
        <f aca="false">J63*(T63+Assumptions!$C$16)</f>
        <v>153410</v>
      </c>
      <c r="AA63" s="56" t="n">
        <f aca="false">IF(ISNUMBER(F63),F63,IF(H63&gt;=2000,4,3))</f>
        <v>3</v>
      </c>
      <c r="AB63" s="40" t="n">
        <f aca="false">IFERROR(INDEX($E$18:$H$25,MATCH(D63,$D$18:$D$25,0),1+IF(AA63&gt;=4,2,0)+IF(Q63="Y",1,0)),0)</f>
        <v>58000</v>
      </c>
      <c r="AC63" s="42" t="n">
        <f aca="false">IFERROR(AB63/X63,0)</f>
        <v>0.958412089099708</v>
      </c>
      <c r="AD63" s="57" t="str">
        <f aca="false">IF(ISNUMBER(SEARCH("Mobile",E63)),"EXCLUDED",IF(AB63&gt;=Y63,"PASS",IF(AB63&gt;=X63,"MARGINAL","FAIL")))</f>
        <v>FAIL</v>
      </c>
      <c r="AE63" s="35" t="s">
        <v>605</v>
      </c>
    </row>
    <row r="64" customFormat="false" ht="15" hidden="false" customHeight="false" outlineLevel="0" collapsed="false">
      <c r="A64" s="27" t="s">
        <v>606</v>
      </c>
      <c r="B64" s="27" t="s">
        <v>607</v>
      </c>
      <c r="C64" s="27" t="s">
        <v>80</v>
      </c>
      <c r="D64" s="27" t="s">
        <v>480</v>
      </c>
      <c r="E64" s="27" t="s">
        <v>506</v>
      </c>
      <c r="F64" s="27" t="n">
        <v>3</v>
      </c>
      <c r="G64" s="27" t="n">
        <v>2</v>
      </c>
      <c r="H64" s="52" t="n">
        <v>1856</v>
      </c>
      <c r="I64" s="13" t="n">
        <v>2001</v>
      </c>
      <c r="J64" s="19" t="n">
        <v>399900</v>
      </c>
      <c r="K64" s="13" t="n">
        <v>61</v>
      </c>
      <c r="L64" s="27" t="s">
        <v>608</v>
      </c>
      <c r="M64" s="19" t="n">
        <v>243000</v>
      </c>
      <c r="N64" s="19" t="n">
        <v>425229</v>
      </c>
      <c r="O64" s="27" t="s">
        <v>458</v>
      </c>
      <c r="P64" s="27" t="s">
        <v>154</v>
      </c>
      <c r="Q64" s="27" t="s">
        <v>145</v>
      </c>
      <c r="R64" s="27" t="s">
        <v>69</v>
      </c>
      <c r="S64" s="27" t="s">
        <v>597</v>
      </c>
      <c r="T64" s="28" t="n">
        <f aca="false">Assumptions!$C$15</f>
        <v>0.25</v>
      </c>
      <c r="U64" s="21" t="n">
        <f aca="false">J64*(1-T64)</f>
        <v>299925</v>
      </c>
      <c r="V64" s="29" t="n">
        <f aca="false">IF((1-T64)&gt;0.75,Assumptions!$C$11,IF((1-T64)&gt;0.7,Assumptions!$C$12,Assumptions!$C$13))</f>
        <v>0.0725</v>
      </c>
      <c r="W64" s="21" t="n">
        <f aca="false">PMT(V64/12,Assumptions!$C$14,-U64)+J64*INDEX(Assumptions!$C$28:$C$34,MATCH(C64,Assumptions!$B$28:$B$34,0))/12+(INDEX(Assumptions!$D$28:$D$34,MATCH(C64,Assumptions!$B$28:$B$34,0))+INDEX(Assumptions!$C$22:$C$25,MATCH(R64,Assumptions!$B$22:$B$25,0)))/12</f>
        <v>3212.5588746252</v>
      </c>
      <c r="X64" s="21" t="n">
        <f aca="false">W64*12*$B$18/Assumptions!$C$18</f>
        <v>48188.383119378</v>
      </c>
      <c r="Y64" s="21" t="n">
        <f aca="false">W64*12*$B$19/Assumptions!$C$18</f>
        <v>60235.4788992225</v>
      </c>
      <c r="Z64" s="21" t="n">
        <f aca="false">J64*(T64+Assumptions!$C$16)</f>
        <v>115971</v>
      </c>
      <c r="AA64" s="53" t="n">
        <f aca="false">IF(ISNUMBER(F64),F64,IF(H64&gt;=2000,4,3))</f>
        <v>3</v>
      </c>
      <c r="AB64" s="21" t="n">
        <f aca="false">IFERROR(INDEX($E$18:$H$25,MATCH(D64,$D$18:$D$25,0),1+IF(AA64&gt;=4,2,0)+IF(Q64="Y",1,0)),0)</f>
        <v>46000</v>
      </c>
      <c r="AC64" s="30" t="n">
        <f aca="false">IFERROR(AB64/X64,0)</f>
        <v>0.95458691539916</v>
      </c>
      <c r="AD64" s="4" t="str">
        <f aca="false">IF(ISNUMBER(SEARCH("Mobile",E64)),"EXCLUDED",IF(AB64&gt;=Y64,"PASS",IF(AB64&gt;=X64,"MARGINAL","FAIL")))</f>
        <v>FAIL</v>
      </c>
      <c r="AE64" s="26"/>
    </row>
    <row r="65" customFormat="false" ht="15" hidden="false" customHeight="false" outlineLevel="0" collapsed="false">
      <c r="A65" s="36" t="s">
        <v>609</v>
      </c>
      <c r="B65" s="36" t="s">
        <v>158</v>
      </c>
      <c r="C65" s="36" t="s">
        <v>80</v>
      </c>
      <c r="D65" s="36" t="s">
        <v>477</v>
      </c>
      <c r="E65" s="36" t="s">
        <v>506</v>
      </c>
      <c r="F65" s="36" t="n">
        <v>4</v>
      </c>
      <c r="G65" s="36" t="n">
        <v>2</v>
      </c>
      <c r="H65" s="55" t="n">
        <v>1564</v>
      </c>
      <c r="I65" s="34" t="n">
        <v>1968</v>
      </c>
      <c r="J65" s="37" t="n">
        <v>645000</v>
      </c>
      <c r="K65" s="34" t="n">
        <v>24</v>
      </c>
      <c r="L65" s="36" t="s">
        <v>460</v>
      </c>
      <c r="M65" s="37" t="n">
        <v>474000</v>
      </c>
      <c r="N65" s="37" t="n">
        <v>17778</v>
      </c>
      <c r="O65" s="36" t="s">
        <v>458</v>
      </c>
      <c r="P65" s="36" t="s">
        <v>154</v>
      </c>
      <c r="Q65" s="36" t="s">
        <v>145</v>
      </c>
      <c r="R65" s="36" t="s">
        <v>69</v>
      </c>
      <c r="S65" s="36" t="s">
        <v>527</v>
      </c>
      <c r="T65" s="39" t="n">
        <f aca="false">Assumptions!$C$15</f>
        <v>0.25</v>
      </c>
      <c r="U65" s="40" t="n">
        <f aca="false">J65*(1-T65)</f>
        <v>483750</v>
      </c>
      <c r="V65" s="41" t="n">
        <f aca="false">IF((1-T65)&gt;0.75,Assumptions!$C$11,IF((1-T65)&gt;0.7,Assumptions!$C$12,Assumptions!$C$13))</f>
        <v>0.0725</v>
      </c>
      <c r="W65" s="40" t="n">
        <f aca="false">PMT(V65/12,Assumptions!$C$14,-U65)+J65*INDEX(Assumptions!$C$28:$C$34,MATCH(C65,Assumptions!$B$28:$B$34,0))/12+(INDEX(Assumptions!$D$28:$D$34,MATCH(C65,Assumptions!$B$28:$B$34,0))+INDEX(Assumptions!$C$22:$C$25,MATCH(R65,Assumptions!$B$22:$B$25,0)))/12</f>
        <v>4772.9444214385</v>
      </c>
      <c r="X65" s="40" t="n">
        <f aca="false">W65*12*$B$18/Assumptions!$C$18</f>
        <v>71594.1663215774</v>
      </c>
      <c r="Y65" s="40" t="n">
        <f aca="false">W65*12*$B$19/Assumptions!$C$18</f>
        <v>89492.7079019718</v>
      </c>
      <c r="Z65" s="40" t="n">
        <f aca="false">J65*(T65+Assumptions!$C$16)</f>
        <v>187050</v>
      </c>
      <c r="AA65" s="56" t="n">
        <f aca="false">IF(ISNUMBER(F65),F65,IF(H65&gt;=2000,4,3))</f>
        <v>4</v>
      </c>
      <c r="AB65" s="40" t="n">
        <f aca="false">IFERROR(INDEX($E$18:$H$25,MATCH(D65,$D$18:$D$25,0),1+IF(AA65&gt;=4,2,0)+IF(Q65="Y",1,0)),0)</f>
        <v>68000</v>
      </c>
      <c r="AC65" s="42" t="n">
        <f aca="false">IFERROR(AB65/X65,0)</f>
        <v>0.94979805609533</v>
      </c>
      <c r="AD65" s="57" t="str">
        <f aca="false">IF(ISNUMBER(SEARCH("Mobile",E65)),"EXCLUDED",IF(AB65&gt;=Y65,"PASS",IF(AB65&gt;=X65,"MARGINAL","FAIL")))</f>
        <v>FAIL</v>
      </c>
      <c r="AE65" s="35" t="s">
        <v>605</v>
      </c>
    </row>
    <row r="66" customFormat="false" ht="15" hidden="false" customHeight="false" outlineLevel="0" collapsed="false">
      <c r="A66" s="27" t="s">
        <v>610</v>
      </c>
      <c r="B66" s="27" t="s">
        <v>331</v>
      </c>
      <c r="C66" s="27" t="s">
        <v>85</v>
      </c>
      <c r="D66" s="27" t="s">
        <v>485</v>
      </c>
      <c r="E66" s="27" t="s">
        <v>506</v>
      </c>
      <c r="F66" s="27" t="n">
        <v>3</v>
      </c>
      <c r="G66" s="27" t="n">
        <v>2</v>
      </c>
      <c r="H66" s="52" t="n">
        <v>1752</v>
      </c>
      <c r="I66" s="13" t="n">
        <v>1991</v>
      </c>
      <c r="J66" s="19" t="n">
        <v>490000</v>
      </c>
      <c r="K66" s="13" t="n">
        <v>94</v>
      </c>
      <c r="L66" s="27" t="s">
        <v>611</v>
      </c>
      <c r="M66" s="19" t="n">
        <v>440000</v>
      </c>
      <c r="N66" s="19" t="n">
        <v>126078</v>
      </c>
      <c r="O66" s="27" t="s">
        <v>458</v>
      </c>
      <c r="P66" s="27" t="s">
        <v>154</v>
      </c>
      <c r="Q66" s="27" t="s">
        <v>145</v>
      </c>
      <c r="R66" s="27" t="s">
        <v>69</v>
      </c>
      <c r="S66" s="27" t="s">
        <v>508</v>
      </c>
      <c r="T66" s="28" t="n">
        <f aca="false">Assumptions!$C$15</f>
        <v>0.25</v>
      </c>
      <c r="U66" s="21" t="n">
        <f aca="false">J66*(1-T66)</f>
        <v>367500</v>
      </c>
      <c r="V66" s="29" t="n">
        <f aca="false">IF((1-T66)&gt;0.75,Assumptions!$C$11,IF((1-T66)&gt;0.7,Assumptions!$C$12,Assumptions!$C$13))</f>
        <v>0.0725</v>
      </c>
      <c r="W66" s="21" t="n">
        <f aca="false">PMT(V66/12,Assumptions!$C$14,-U66)+J66*INDEX(Assumptions!$C$28:$C$34,MATCH(C66,Assumptions!$B$28:$B$34,0))/12+(INDEX(Assumptions!$D$28:$D$34,MATCH(C66,Assumptions!$B$28:$B$34,0))+INDEX(Assumptions!$C$22:$C$25,MATCH(R66,Assumptions!$B$22:$B$25,0)))/12</f>
        <v>3867.83116253984</v>
      </c>
      <c r="X66" s="21" t="n">
        <f aca="false">W66*12*$B$18/Assumptions!$C$18</f>
        <v>58017.4674380976</v>
      </c>
      <c r="Y66" s="21" t="n">
        <f aca="false">W66*12*$B$19/Assumptions!$C$18</f>
        <v>72521.834297622</v>
      </c>
      <c r="Z66" s="21" t="n">
        <f aca="false">J66*(T66+Assumptions!$C$16)</f>
        <v>142100</v>
      </c>
      <c r="AA66" s="53" t="n">
        <f aca="false">IF(ISNUMBER(F66),F66,IF(H66&gt;=2000,4,3))</f>
        <v>3</v>
      </c>
      <c r="AB66" s="21" t="n">
        <f aca="false">IFERROR(INDEX($E$18:$H$25,MATCH(D66,$D$18:$D$25,0),1+IF(AA66&gt;=4,2,0)+IF(Q66="Y",1,0)),0)</f>
        <v>55000</v>
      </c>
      <c r="AC66" s="30" t="n">
        <f aca="false">IFERROR(AB66/X66,0)</f>
        <v>0.947990362707281</v>
      </c>
      <c r="AD66" s="4" t="str">
        <f aca="false">IF(ISNUMBER(SEARCH("Mobile",E66)),"EXCLUDED",IF(AB66&gt;=Y66,"PASS",IF(AB66&gt;=X66,"MARGINAL","FAIL")))</f>
        <v>FAIL</v>
      </c>
      <c r="AE66" s="26"/>
    </row>
    <row r="67" customFormat="false" ht="15" hidden="false" customHeight="false" outlineLevel="0" collapsed="false">
      <c r="A67" s="36" t="s">
        <v>612</v>
      </c>
      <c r="B67" s="36" t="s">
        <v>141</v>
      </c>
      <c r="C67" s="36" t="s">
        <v>80</v>
      </c>
      <c r="D67" s="36" t="s">
        <v>477</v>
      </c>
      <c r="E67" s="36" t="s">
        <v>506</v>
      </c>
      <c r="F67" s="36" t="n">
        <v>3</v>
      </c>
      <c r="G67" s="36" t="n">
        <v>2</v>
      </c>
      <c r="H67" s="55" t="n">
        <v>1635</v>
      </c>
      <c r="I67" s="34" t="n">
        <v>1988</v>
      </c>
      <c r="J67" s="37" t="n">
        <v>392500</v>
      </c>
      <c r="K67" s="34" t="n">
        <v>11</v>
      </c>
      <c r="L67" s="36" t="s">
        <v>613</v>
      </c>
      <c r="M67" s="37" t="n">
        <v>120000</v>
      </c>
      <c r="N67" s="37" t="n">
        <v>467886</v>
      </c>
      <c r="O67" s="36" t="s">
        <v>453</v>
      </c>
      <c r="P67" s="36" t="s">
        <v>154</v>
      </c>
      <c r="Q67" s="36" t="s">
        <v>154</v>
      </c>
      <c r="R67" s="36" t="s">
        <v>69</v>
      </c>
      <c r="S67" s="36" t="s">
        <v>527</v>
      </c>
      <c r="T67" s="39" t="n">
        <f aca="false">Assumptions!$C$15</f>
        <v>0.25</v>
      </c>
      <c r="U67" s="40" t="n">
        <f aca="false">J67*(1-T67)</f>
        <v>294375</v>
      </c>
      <c r="V67" s="41" t="n">
        <f aca="false">IF((1-T67)&gt;0.75,Assumptions!$C$11,IF((1-T67)&gt;0.7,Assumptions!$C$12,Assumptions!$C$13))</f>
        <v>0.0725</v>
      </c>
      <c r="W67" s="40" t="n">
        <f aca="false">PMT(V67/12,Assumptions!$C$14,-U67)+J67*INDEX(Assumptions!$C$28:$C$34,MATCH(C67,Assumptions!$B$28:$B$34,0))/12+(INDEX(Assumptions!$D$28:$D$34,MATCH(C67,Assumptions!$B$28:$B$34,0))+INDEX(Assumptions!$C$22:$C$25,MATCH(R67,Assumptions!$B$22:$B$25,0)))/12</f>
        <v>3165.44809108208</v>
      </c>
      <c r="X67" s="40" t="n">
        <f aca="false">W67*12*$B$18/Assumptions!$C$18</f>
        <v>47481.7213662312</v>
      </c>
      <c r="Y67" s="40" t="n">
        <f aca="false">W67*12*$B$19/Assumptions!$C$18</f>
        <v>59352.151707789</v>
      </c>
      <c r="Z67" s="40" t="n">
        <f aca="false">J67*(T67+Assumptions!$C$16)</f>
        <v>113825</v>
      </c>
      <c r="AA67" s="56" t="n">
        <f aca="false">IF(ISNUMBER(F67),F67,IF(H67&gt;=2000,4,3))</f>
        <v>3</v>
      </c>
      <c r="AB67" s="40" t="n">
        <f aca="false">IFERROR(INDEX($E$18:$H$25,MATCH(D67,$D$18:$D$25,0),1+IF(AA67&gt;=4,2,0)+IF(Q67="Y",1,0)),0)</f>
        <v>45000</v>
      </c>
      <c r="AC67" s="42" t="n">
        <f aca="false">IFERROR(AB67/X67,0)</f>
        <v>0.947733121402877</v>
      </c>
      <c r="AD67" s="57" t="str">
        <f aca="false">IF(ISNUMBER(SEARCH("Mobile",E67)),"EXCLUDED",IF(AB67&gt;=Y67,"PASS",IF(AB67&gt;=X67,"MARGINAL","FAIL")))</f>
        <v>FAIL</v>
      </c>
      <c r="AE67" s="35"/>
    </row>
    <row r="68" customFormat="false" ht="23.85" hidden="false" customHeight="false" outlineLevel="0" collapsed="false">
      <c r="A68" s="27" t="s">
        <v>614</v>
      </c>
      <c r="B68" s="27" t="s">
        <v>310</v>
      </c>
      <c r="C68" s="27" t="s">
        <v>18</v>
      </c>
      <c r="D68" s="27" t="s">
        <v>484</v>
      </c>
      <c r="E68" s="27" t="s">
        <v>552</v>
      </c>
      <c r="F68" s="27"/>
      <c r="G68" s="27"/>
      <c r="H68" s="52" t="n">
        <v>1700</v>
      </c>
      <c r="I68" s="13" t="n">
        <v>2011</v>
      </c>
      <c r="J68" s="19" t="n">
        <v>388000</v>
      </c>
      <c r="K68" s="13" t="n">
        <v>78</v>
      </c>
      <c r="L68" s="27" t="s">
        <v>615</v>
      </c>
      <c r="M68" s="19" t="n">
        <v>300000</v>
      </c>
      <c r="N68" s="19" t="n">
        <v>382862</v>
      </c>
      <c r="O68" s="27" t="s">
        <v>448</v>
      </c>
      <c r="P68" s="27" t="s">
        <v>154</v>
      </c>
      <c r="Q68" s="27" t="s">
        <v>154</v>
      </c>
      <c r="R68" s="27" t="s">
        <v>69</v>
      </c>
      <c r="S68" s="27" t="s">
        <v>520</v>
      </c>
      <c r="T68" s="28" t="n">
        <f aca="false">Assumptions!$C$15</f>
        <v>0.25</v>
      </c>
      <c r="U68" s="21" t="n">
        <f aca="false">J68*(1-T68)</f>
        <v>291000</v>
      </c>
      <c r="V68" s="29" t="n">
        <f aca="false">IF((1-T68)&gt;0.75,Assumptions!$C$11,IF((1-T68)&gt;0.7,Assumptions!$C$12,Assumptions!$C$13))</f>
        <v>0.0725</v>
      </c>
      <c r="W68" s="21" t="n">
        <f aca="false">PMT(V68/12,Assumptions!$C$14,-U68)+J68*INDEX(Assumptions!$C$28:$C$34,MATCH(C68,Assumptions!$B$28:$B$34,0))/12+(INDEX(Assumptions!$D$28:$D$34,MATCH(C68,Assumptions!$B$28:$B$34,0))+INDEX(Assumptions!$C$22:$C$25,MATCH(R68,Assumptions!$B$22:$B$25,0)))/12</f>
        <v>3169.13297496352</v>
      </c>
      <c r="X68" s="21" t="n">
        <f aca="false">W68*12*$B$18/Assumptions!$C$18</f>
        <v>47536.9946244528</v>
      </c>
      <c r="Y68" s="21" t="n">
        <f aca="false">W68*12*$B$19/Assumptions!$C$18</f>
        <v>59421.243280566</v>
      </c>
      <c r="Z68" s="21" t="n">
        <f aca="false">J68*(T68+Assumptions!$C$16)</f>
        <v>112520</v>
      </c>
      <c r="AA68" s="53" t="n">
        <f aca="false">IF(ISNUMBER(F68),F68,IF(H68&gt;=2000,4,3))</f>
        <v>3</v>
      </c>
      <c r="AB68" s="21" t="n">
        <f aca="false">IFERROR(INDEX($E$18:$H$25,MATCH(D68,$D$18:$D$25,0),1+IF(AA68&gt;=4,2,0)+IF(Q68="Y",1,0)),0)</f>
        <v>45000</v>
      </c>
      <c r="AC68" s="30" t="n">
        <f aca="false">IFERROR(AB68/X68,0)</f>
        <v>0.946631152337347</v>
      </c>
      <c r="AD68" s="4" t="str">
        <f aca="false">IF(ISNUMBER(SEARCH("Mobile",E68)),"EXCLUDED",IF(AB68&gt;=Y68,"PASS",IF(AB68&gt;=X68,"MARGINAL","FAIL")))</f>
        <v>FAIL</v>
      </c>
      <c r="AE68" s="26" t="s">
        <v>546</v>
      </c>
    </row>
    <row r="69" customFormat="false" ht="23.85" hidden="false" customHeight="false" outlineLevel="0" collapsed="false">
      <c r="A69" s="36" t="s">
        <v>616</v>
      </c>
      <c r="B69" s="36" t="s">
        <v>544</v>
      </c>
      <c r="C69" s="36" t="s">
        <v>18</v>
      </c>
      <c r="D69" s="36" t="s">
        <v>484</v>
      </c>
      <c r="E69" s="36" t="s">
        <v>617</v>
      </c>
      <c r="F69" s="36"/>
      <c r="G69" s="36" t="n">
        <v>2</v>
      </c>
      <c r="H69" s="55" t="n">
        <v>1636</v>
      </c>
      <c r="I69" s="34" t="n">
        <v>2004</v>
      </c>
      <c r="J69" s="37" t="n">
        <v>389000</v>
      </c>
      <c r="K69" s="34" t="n">
        <v>173</v>
      </c>
      <c r="L69" s="36" t="s">
        <v>618</v>
      </c>
      <c r="M69" s="37" t="n">
        <v>60000</v>
      </c>
      <c r="N69" s="37" t="n">
        <v>377071</v>
      </c>
      <c r="O69" s="36" t="s">
        <v>448</v>
      </c>
      <c r="P69" s="36" t="s">
        <v>154</v>
      </c>
      <c r="Q69" s="36" t="s">
        <v>154</v>
      </c>
      <c r="R69" s="36" t="s">
        <v>69</v>
      </c>
      <c r="S69" s="36" t="s">
        <v>520</v>
      </c>
      <c r="T69" s="39" t="n">
        <f aca="false">Assumptions!$C$15</f>
        <v>0.25</v>
      </c>
      <c r="U69" s="40" t="n">
        <f aca="false">J69*(1-T69)</f>
        <v>291750</v>
      </c>
      <c r="V69" s="41" t="n">
        <f aca="false">IF((1-T69)&gt;0.75,Assumptions!$C$11,IF((1-T69)&gt;0.7,Assumptions!$C$12,Assumptions!$C$13))</f>
        <v>0.0725</v>
      </c>
      <c r="W69" s="40" t="n">
        <f aca="false">PMT(V69/12,Assumptions!$C$14,-U69)+J69*INDEX(Assumptions!$C$28:$C$34,MATCH(C69,Assumptions!$B$28:$B$34,0))/12+(INDEX(Assumptions!$D$28:$D$34,MATCH(C69,Assumptions!$B$28:$B$34,0))+INDEX(Assumptions!$C$22:$C$25,MATCH(R69,Assumptions!$B$22:$B$25,0)))/12</f>
        <v>3175.58263039727</v>
      </c>
      <c r="X69" s="40" t="n">
        <f aca="false">W69*12*$B$18/Assumptions!$C$18</f>
        <v>47633.7394559591</v>
      </c>
      <c r="Y69" s="40" t="n">
        <f aca="false">W69*12*$B$19/Assumptions!$C$18</f>
        <v>59542.1743199489</v>
      </c>
      <c r="Z69" s="40" t="n">
        <f aca="false">J69*(T69+Assumptions!$C$16)</f>
        <v>112810</v>
      </c>
      <c r="AA69" s="56" t="n">
        <f aca="false">IF(ISNUMBER(F69),F69,IF(H69&gt;=2000,4,3))</f>
        <v>3</v>
      </c>
      <c r="AB69" s="40" t="n">
        <f aca="false">IFERROR(INDEX($E$18:$H$25,MATCH(D69,$D$18:$D$25,0),1+IF(AA69&gt;=4,2,0)+IF(Q69="Y",1,0)),0)</f>
        <v>45000</v>
      </c>
      <c r="AC69" s="42" t="n">
        <f aca="false">IFERROR(AB69/X69,0)</f>
        <v>0.944708530423185</v>
      </c>
      <c r="AD69" s="57" t="str">
        <f aca="false">IF(ISNUMBER(SEARCH("Mobile",E69)),"EXCLUDED",IF(AB69&gt;=Y69,"PASS",IF(AB69&gt;=X69,"MARGINAL","FAIL")))</f>
        <v>EXCLUDED</v>
      </c>
      <c r="AE69" s="35" t="s">
        <v>619</v>
      </c>
    </row>
    <row r="70" customFormat="false" ht="15" hidden="false" customHeight="false" outlineLevel="0" collapsed="false">
      <c r="A70" s="27" t="s">
        <v>620</v>
      </c>
      <c r="B70" s="27" t="s">
        <v>331</v>
      </c>
      <c r="C70" s="27" t="s">
        <v>85</v>
      </c>
      <c r="D70" s="27" t="s">
        <v>485</v>
      </c>
      <c r="E70" s="27" t="s">
        <v>506</v>
      </c>
      <c r="F70" s="27" t="n">
        <v>3</v>
      </c>
      <c r="G70" s="27" t="n">
        <v>2</v>
      </c>
      <c r="H70" s="52" t="n">
        <v>1909</v>
      </c>
      <c r="I70" s="13" t="n">
        <v>2000</v>
      </c>
      <c r="J70" s="19" t="n">
        <v>449000</v>
      </c>
      <c r="K70" s="13" t="n">
        <v>157</v>
      </c>
      <c r="L70" s="27" t="s">
        <v>621</v>
      </c>
      <c r="M70" s="19" t="n">
        <v>365000</v>
      </c>
      <c r="N70" s="19" t="n">
        <v>467611</v>
      </c>
      <c r="O70" s="27" t="s">
        <v>453</v>
      </c>
      <c r="P70" s="27" t="s">
        <v>154</v>
      </c>
      <c r="Q70" s="27" t="s">
        <v>145</v>
      </c>
      <c r="R70" s="27" t="s">
        <v>71</v>
      </c>
      <c r="S70" s="27" t="s">
        <v>508</v>
      </c>
      <c r="T70" s="28" t="n">
        <f aca="false">Assumptions!$C$15</f>
        <v>0.25</v>
      </c>
      <c r="U70" s="21" t="n">
        <f aca="false">J70*(1-T70)</f>
        <v>336750</v>
      </c>
      <c r="V70" s="29" t="n">
        <f aca="false">IF((1-T70)&gt;0.75,Assumptions!$C$11,IF((1-T70)&gt;0.7,Assumptions!$C$12,Assumptions!$C$13))</f>
        <v>0.0725</v>
      </c>
      <c r="W70" s="21" t="n">
        <f aca="false">PMT(V70/12,Assumptions!$C$14,-U70)+J70*INDEX(Assumptions!$C$28:$C$34,MATCH(C70,Assumptions!$B$28:$B$34,0))/12+(INDEX(Assumptions!$D$28:$D$34,MATCH(C70,Assumptions!$B$28:$B$34,0))+INDEX(Assumptions!$C$22:$C$25,MATCH(R70,Assumptions!$B$22:$B$25,0)))/12</f>
        <v>3891.64528975589</v>
      </c>
      <c r="X70" s="21" t="n">
        <f aca="false">W70*12*$B$18/Assumptions!$C$18</f>
        <v>58374.6793463384</v>
      </c>
      <c r="Y70" s="21" t="n">
        <f aca="false">W70*12*$B$19/Assumptions!$C$18</f>
        <v>72968.349182923</v>
      </c>
      <c r="Z70" s="21" t="n">
        <f aca="false">J70*(T70+Assumptions!$C$16)</f>
        <v>130210</v>
      </c>
      <c r="AA70" s="53" t="n">
        <f aca="false">IF(ISNUMBER(F70),F70,IF(H70&gt;=2000,4,3))</f>
        <v>3</v>
      </c>
      <c r="AB70" s="21" t="n">
        <f aca="false">IFERROR(INDEX($E$18:$H$25,MATCH(D70,$D$18:$D$25,0),1+IF(AA70&gt;=4,2,0)+IF(Q70="Y",1,0)),0)</f>
        <v>55000</v>
      </c>
      <c r="AC70" s="30" t="n">
        <f aca="false">IFERROR(AB70/X70,0)</f>
        <v>0.942189329618132</v>
      </c>
      <c r="AD70" s="4" t="str">
        <f aca="false">IF(ISNUMBER(SEARCH("Mobile",E70)),"EXCLUDED",IF(AB70&gt;=Y70,"PASS",IF(AB70&gt;=X70,"MARGINAL","FAIL")))</f>
        <v>FAIL</v>
      </c>
      <c r="AE70" s="26"/>
    </row>
    <row r="71" customFormat="false" ht="15" hidden="false" customHeight="false" outlineLevel="0" collapsed="false">
      <c r="A71" s="36" t="s">
        <v>622</v>
      </c>
      <c r="B71" s="36" t="s">
        <v>514</v>
      </c>
      <c r="C71" s="36" t="s">
        <v>82</v>
      </c>
      <c r="D71" s="36" t="s">
        <v>481</v>
      </c>
      <c r="E71" s="36" t="s">
        <v>506</v>
      </c>
      <c r="F71" s="36" t="n">
        <v>4</v>
      </c>
      <c r="G71" s="36" t="n">
        <v>2</v>
      </c>
      <c r="H71" s="55" t="n">
        <v>1340</v>
      </c>
      <c r="I71" s="34" t="n">
        <v>1974</v>
      </c>
      <c r="J71" s="37" t="n">
        <v>439900</v>
      </c>
      <c r="K71" s="34" t="n">
        <v>102</v>
      </c>
      <c r="L71" s="36" t="s">
        <v>623</v>
      </c>
      <c r="M71" s="37" t="n">
        <v>210000</v>
      </c>
      <c r="N71" s="37" t="n">
        <v>186498</v>
      </c>
      <c r="O71" s="36" t="s">
        <v>458</v>
      </c>
      <c r="P71" s="36" t="s">
        <v>154</v>
      </c>
      <c r="Q71" s="36" t="s">
        <v>154</v>
      </c>
      <c r="R71" s="36" t="s">
        <v>69</v>
      </c>
      <c r="S71" s="36" t="s">
        <v>516</v>
      </c>
      <c r="T71" s="39" t="n">
        <f aca="false">Assumptions!$C$15</f>
        <v>0.25</v>
      </c>
      <c r="U71" s="40" t="n">
        <f aca="false">J71*(1-T71)</f>
        <v>329925</v>
      </c>
      <c r="V71" s="41" t="n">
        <f aca="false">IF((1-T71)&gt;0.75,Assumptions!$C$11,IF((1-T71)&gt;0.7,Assumptions!$C$12,Assumptions!$C$13))</f>
        <v>0.0725</v>
      </c>
      <c r="W71" s="40" t="n">
        <f aca="false">PMT(V71/12,Assumptions!$C$14,-U71)+J71*INDEX(Assumptions!$C$28:$C$34,MATCH(C71,Assumptions!$B$28:$B$34,0))/12+(INDEX(Assumptions!$D$28:$D$34,MATCH(C71,Assumptions!$B$28:$B$34,0))+INDEX(Assumptions!$C$22:$C$25,MATCH(R71,Assumptions!$B$22:$B$25,0)))/12</f>
        <v>3412.22425864206</v>
      </c>
      <c r="X71" s="40" t="n">
        <f aca="false">W71*12*$B$18/Assumptions!$C$18</f>
        <v>51183.3638796309</v>
      </c>
      <c r="Y71" s="40" t="n">
        <f aca="false">W71*12*$B$19/Assumptions!$C$18</f>
        <v>63979.2048495386</v>
      </c>
      <c r="Z71" s="40" t="n">
        <f aca="false">J71*(T71+Assumptions!$C$16)</f>
        <v>127571</v>
      </c>
      <c r="AA71" s="56" t="n">
        <f aca="false">IF(ISNUMBER(F71),F71,IF(H71&gt;=2000,4,3))</f>
        <v>4</v>
      </c>
      <c r="AB71" s="40" t="n">
        <f aca="false">IFERROR(INDEX($E$18:$H$25,MATCH(D71,$D$18:$D$25,0),1+IF(AA71&gt;=4,2,0)+IF(Q71="Y",1,0)),0)</f>
        <v>48000</v>
      </c>
      <c r="AC71" s="42" t="n">
        <f aca="false">IFERROR(AB71/X71,0)</f>
        <v>0.937804715471276</v>
      </c>
      <c r="AD71" s="57" t="str">
        <f aca="false">IF(ISNUMBER(SEARCH("Mobile",E71)),"EXCLUDED",IF(AB71&gt;=Y71,"PASS",IF(AB71&gt;=X71,"MARGINAL","FAIL")))</f>
        <v>FAIL</v>
      </c>
      <c r="AE71" s="35"/>
    </row>
    <row r="72" customFormat="false" ht="15" hidden="false" customHeight="false" outlineLevel="0" collapsed="false">
      <c r="A72" s="27" t="s">
        <v>624</v>
      </c>
      <c r="B72" s="27" t="s">
        <v>150</v>
      </c>
      <c r="C72" s="27" t="s">
        <v>80</v>
      </c>
      <c r="D72" s="27" t="s">
        <v>477</v>
      </c>
      <c r="E72" s="27" t="s">
        <v>506</v>
      </c>
      <c r="F72" s="27" t="n">
        <v>3</v>
      </c>
      <c r="G72" s="27" t="n">
        <v>2</v>
      </c>
      <c r="H72" s="52" t="n">
        <v>1912</v>
      </c>
      <c r="I72" s="13" t="n">
        <v>1961</v>
      </c>
      <c r="J72" s="19" t="n">
        <v>399999</v>
      </c>
      <c r="K72" s="13" t="n">
        <v>60</v>
      </c>
      <c r="L72" s="27" t="s">
        <v>625</v>
      </c>
      <c r="M72" s="19" t="n">
        <v>245000</v>
      </c>
      <c r="N72" s="19" t="n">
        <v>356658</v>
      </c>
      <c r="O72" s="27" t="s">
        <v>453</v>
      </c>
      <c r="P72" s="27" t="s">
        <v>154</v>
      </c>
      <c r="Q72" s="27" t="s">
        <v>154</v>
      </c>
      <c r="R72" s="27" t="s">
        <v>69</v>
      </c>
      <c r="S72" s="27" t="s">
        <v>527</v>
      </c>
      <c r="T72" s="28" t="n">
        <f aca="false">Assumptions!$C$15</f>
        <v>0.25</v>
      </c>
      <c r="U72" s="21" t="n">
        <f aca="false">J72*(1-T72)</f>
        <v>299999.25</v>
      </c>
      <c r="V72" s="29" t="n">
        <f aca="false">IF((1-T72)&gt;0.75,Assumptions!$C$11,IF((1-T72)&gt;0.7,Assumptions!$C$12,Assumptions!$C$13))</f>
        <v>0.0725</v>
      </c>
      <c r="W72" s="21" t="n">
        <f aca="false">PMT(V72/12,Assumptions!$C$14,-U72)+J72*INDEX(Assumptions!$C$28:$C$34,MATCH(C72,Assumptions!$B$28:$B$34,0))/12+(INDEX(Assumptions!$D$28:$D$34,MATCH(C72,Assumptions!$B$28:$B$34,0))+INDEX(Assumptions!$C$22:$C$25,MATCH(R72,Assumptions!$B$22:$B$25,0)))/12</f>
        <v>3213.18914051314</v>
      </c>
      <c r="X72" s="21" t="n">
        <f aca="false">W72*12*$B$18/Assumptions!$C$18</f>
        <v>48197.8371076971</v>
      </c>
      <c r="Y72" s="21" t="n">
        <f aca="false">W72*12*$B$19/Assumptions!$C$18</f>
        <v>60247.2963846214</v>
      </c>
      <c r="Z72" s="21" t="n">
        <f aca="false">J72*(T72+Assumptions!$C$16)</f>
        <v>115999.71</v>
      </c>
      <c r="AA72" s="53" t="n">
        <f aca="false">IF(ISNUMBER(F72),F72,IF(H72&gt;=2000,4,3))</f>
        <v>3</v>
      </c>
      <c r="AB72" s="21" t="n">
        <f aca="false">IFERROR(INDEX($E$18:$H$25,MATCH(D72,$D$18:$D$25,0),1+IF(AA72&gt;=4,2,0)+IF(Q72="Y",1,0)),0)</f>
        <v>45000</v>
      </c>
      <c r="AC72" s="30" t="n">
        <f aca="false">IFERROR(AB72/X72,0)</f>
        <v>0.933651854531322</v>
      </c>
      <c r="AD72" s="4" t="str">
        <f aca="false">IF(ISNUMBER(SEARCH("Mobile",E72)),"EXCLUDED",IF(AB72&gt;=Y72,"PASS",IF(AB72&gt;=X72,"MARGINAL","FAIL")))</f>
        <v>FAIL</v>
      </c>
      <c r="AE72" s="26"/>
    </row>
    <row r="73" customFormat="false" ht="15" hidden="false" customHeight="false" outlineLevel="0" collapsed="false">
      <c r="A73" s="36" t="s">
        <v>626</v>
      </c>
      <c r="B73" s="36" t="s">
        <v>141</v>
      </c>
      <c r="C73" s="36" t="s">
        <v>80</v>
      </c>
      <c r="D73" s="36" t="s">
        <v>477</v>
      </c>
      <c r="E73" s="36" t="s">
        <v>506</v>
      </c>
      <c r="F73" s="36" t="n">
        <v>3</v>
      </c>
      <c r="G73" s="36" t="n">
        <v>2</v>
      </c>
      <c r="H73" s="55" t="n">
        <v>1356</v>
      </c>
      <c r="I73" s="34" t="n">
        <v>1962</v>
      </c>
      <c r="J73" s="37" t="n">
        <v>400000</v>
      </c>
      <c r="K73" s="34" t="n">
        <v>44</v>
      </c>
      <c r="L73" s="36" t="s">
        <v>627</v>
      </c>
      <c r="M73" s="37" t="n">
        <v>190000</v>
      </c>
      <c r="N73" s="37" t="n">
        <v>391606</v>
      </c>
      <c r="O73" s="36" t="s">
        <v>448</v>
      </c>
      <c r="P73" s="36" t="s">
        <v>154</v>
      </c>
      <c r="Q73" s="36" t="s">
        <v>154</v>
      </c>
      <c r="R73" s="36" t="s">
        <v>69</v>
      </c>
      <c r="S73" s="36" t="s">
        <v>527</v>
      </c>
      <c r="T73" s="39" t="n">
        <f aca="false">Assumptions!$C$15</f>
        <v>0.25</v>
      </c>
      <c r="U73" s="40" t="n">
        <f aca="false">J73*(1-T73)</f>
        <v>300000</v>
      </c>
      <c r="V73" s="41" t="n">
        <f aca="false">IF((1-T73)&gt;0.75,Assumptions!$C$11,IF((1-T73)&gt;0.7,Assumptions!$C$12,Assumptions!$C$13))</f>
        <v>0.0725</v>
      </c>
      <c r="W73" s="40" t="n">
        <f aca="false">PMT(V73/12,Assumptions!$C$14,-U73)+J73*INDEX(Assumptions!$C$28:$C$34,MATCH(C73,Assumptions!$B$28:$B$34,0))/12+(INDEX(Assumptions!$D$28:$D$34,MATCH(C73,Assumptions!$B$28:$B$34,0))+INDEX(Assumptions!$C$22:$C$25,MATCH(R73,Assumptions!$B$22:$B$25,0)))/12</f>
        <v>3213.19550683524</v>
      </c>
      <c r="X73" s="40" t="n">
        <f aca="false">W73*12*$B$18/Assumptions!$C$18</f>
        <v>48197.9326025286</v>
      </c>
      <c r="Y73" s="40" t="n">
        <f aca="false">W73*12*$B$19/Assumptions!$C$18</f>
        <v>60247.4157531608</v>
      </c>
      <c r="Z73" s="40" t="n">
        <f aca="false">J73*(T73+Assumptions!$C$16)</f>
        <v>116000</v>
      </c>
      <c r="AA73" s="56" t="n">
        <f aca="false">IF(ISNUMBER(F73),F73,IF(H73&gt;=2000,4,3))</f>
        <v>3</v>
      </c>
      <c r="AB73" s="40" t="n">
        <f aca="false">IFERROR(INDEX($E$18:$H$25,MATCH(D73,$D$18:$D$25,0),1+IF(AA73&gt;=4,2,0)+IF(Q73="Y",1,0)),0)</f>
        <v>45000</v>
      </c>
      <c r="AC73" s="42" t="n">
        <f aca="false">IFERROR(AB73/X73,0)</f>
        <v>0.933650004681718</v>
      </c>
      <c r="AD73" s="57" t="str">
        <f aca="false">IF(ISNUMBER(SEARCH("Mobile",E73)),"EXCLUDED",IF(AB73&gt;=Y73,"PASS",IF(AB73&gt;=X73,"MARGINAL","FAIL")))</f>
        <v>FAIL</v>
      </c>
      <c r="AE73" s="35"/>
    </row>
    <row r="74" customFormat="false" ht="23.85" hidden="false" customHeight="false" outlineLevel="0" collapsed="false">
      <c r="A74" s="27" t="s">
        <v>628</v>
      </c>
      <c r="B74" s="27" t="s">
        <v>629</v>
      </c>
      <c r="C74" s="27" t="s">
        <v>18</v>
      </c>
      <c r="D74" s="27" t="s">
        <v>484</v>
      </c>
      <c r="E74" s="27" t="s">
        <v>506</v>
      </c>
      <c r="F74" s="27"/>
      <c r="G74" s="27" t="n">
        <v>2</v>
      </c>
      <c r="H74" s="52" t="n">
        <v>1621</v>
      </c>
      <c r="I74" s="13" t="n">
        <v>1950</v>
      </c>
      <c r="J74" s="19" t="n">
        <v>395000</v>
      </c>
      <c r="K74" s="13" t="n">
        <v>51</v>
      </c>
      <c r="L74" s="27" t="s">
        <v>630</v>
      </c>
      <c r="M74" s="19" t="n">
        <v>778400</v>
      </c>
      <c r="N74" s="19" t="n">
        <v>417439</v>
      </c>
      <c r="O74" s="27" t="s">
        <v>453</v>
      </c>
      <c r="P74" s="27" t="s">
        <v>154</v>
      </c>
      <c r="Q74" s="27" t="s">
        <v>154</v>
      </c>
      <c r="R74" s="27" t="s">
        <v>69</v>
      </c>
      <c r="S74" s="27" t="s">
        <v>532</v>
      </c>
      <c r="T74" s="28" t="n">
        <f aca="false">Assumptions!$C$15</f>
        <v>0.25</v>
      </c>
      <c r="U74" s="21" t="n">
        <f aca="false">J74*(1-T74)</f>
        <v>296250</v>
      </c>
      <c r="V74" s="29" t="n">
        <f aca="false">IF((1-T74)&gt;0.75,Assumptions!$C$11,IF((1-T74)&gt;0.7,Assumptions!$C$12,Assumptions!$C$13))</f>
        <v>0.0725</v>
      </c>
      <c r="W74" s="21" t="n">
        <f aca="false">PMT(V74/12,Assumptions!$C$14,-U74)+J74*INDEX(Assumptions!$C$28:$C$34,MATCH(C74,Assumptions!$B$28:$B$34,0))/12+(INDEX(Assumptions!$D$28:$D$34,MATCH(C74,Assumptions!$B$28:$B$34,0))+INDEX(Assumptions!$C$22:$C$25,MATCH(R74,Assumptions!$B$22:$B$25,0)))/12</f>
        <v>3214.2805629998</v>
      </c>
      <c r="X74" s="21" t="n">
        <f aca="false">W74*12*$B$18/Assumptions!$C$18</f>
        <v>48214.208444997</v>
      </c>
      <c r="Y74" s="21" t="n">
        <f aca="false">W74*12*$B$19/Assumptions!$C$18</f>
        <v>60267.7605562463</v>
      </c>
      <c r="Z74" s="21" t="n">
        <f aca="false">J74*(T74+Assumptions!$C$16)</f>
        <v>114550</v>
      </c>
      <c r="AA74" s="53" t="n">
        <f aca="false">IF(ISNUMBER(F74),F74,IF(H74&gt;=2000,4,3))</f>
        <v>3</v>
      </c>
      <c r="AB74" s="21" t="n">
        <f aca="false">IFERROR(INDEX($E$18:$H$25,MATCH(D74,$D$18:$D$25,0),1+IF(AA74&gt;=4,2,0)+IF(Q74="Y",1,0)),0)</f>
        <v>45000</v>
      </c>
      <c r="AC74" s="30" t="n">
        <f aca="false">IFERROR(AB74/X74,0)</f>
        <v>0.933334829116529</v>
      </c>
      <c r="AD74" s="4" t="str">
        <f aca="false">IF(ISNUMBER(SEARCH("Mobile",E74)),"EXCLUDED",IF(AB74&gt;=Y74,"PASS",IF(AB74&gt;=X74,"MARGINAL","FAIL")))</f>
        <v>FAIL</v>
      </c>
      <c r="AE74" s="26" t="s">
        <v>546</v>
      </c>
    </row>
    <row r="75" customFormat="false" ht="15" hidden="false" customHeight="false" outlineLevel="0" collapsed="false">
      <c r="A75" s="36" t="s">
        <v>631</v>
      </c>
      <c r="B75" s="36" t="s">
        <v>164</v>
      </c>
      <c r="C75" s="36" t="s">
        <v>82</v>
      </c>
      <c r="D75" s="36" t="s">
        <v>481</v>
      </c>
      <c r="E75" s="36" t="s">
        <v>506</v>
      </c>
      <c r="F75" s="36" t="n">
        <v>3</v>
      </c>
      <c r="G75" s="36" t="n">
        <v>2</v>
      </c>
      <c r="H75" s="55" t="n">
        <v>951</v>
      </c>
      <c r="I75" s="34" t="n">
        <v>1952</v>
      </c>
      <c r="J75" s="37" t="n">
        <v>375000</v>
      </c>
      <c r="K75" s="34" t="n">
        <v>59</v>
      </c>
      <c r="L75" s="36" t="s">
        <v>632</v>
      </c>
      <c r="M75" s="37" t="n">
        <v>315000</v>
      </c>
      <c r="N75" s="37" t="n">
        <v>29464</v>
      </c>
      <c r="O75" s="36" t="s">
        <v>458</v>
      </c>
      <c r="P75" s="36" t="s">
        <v>154</v>
      </c>
      <c r="Q75" s="36" t="s">
        <v>154</v>
      </c>
      <c r="R75" s="36" t="s">
        <v>69</v>
      </c>
      <c r="S75" s="36" t="s">
        <v>633</v>
      </c>
      <c r="T75" s="39" t="n">
        <f aca="false">Assumptions!$C$15</f>
        <v>0.25</v>
      </c>
      <c r="U75" s="40" t="n">
        <f aca="false">J75*(1-T75)</f>
        <v>281250</v>
      </c>
      <c r="V75" s="41" t="n">
        <f aca="false">IF((1-T75)&gt;0.75,Assumptions!$C$11,IF((1-T75)&gt;0.7,Assumptions!$C$12,Assumptions!$C$13))</f>
        <v>0.0725</v>
      </c>
      <c r="W75" s="40" t="n">
        <f aca="false">PMT(V75/12,Assumptions!$C$14,-U75)+J75*INDEX(Assumptions!$C$28:$C$34,MATCH(C75,Assumptions!$B$28:$B$34,0))/12+(INDEX(Assumptions!$D$28:$D$34,MATCH(C75,Assumptions!$B$28:$B$34,0))+INDEX(Assumptions!$C$22:$C$25,MATCH(R75,Assumptions!$B$22:$B$25,0)))/12</f>
        <v>3007.16245432471</v>
      </c>
      <c r="X75" s="40" t="n">
        <f aca="false">W75*12*$B$18/Assumptions!$C$18</f>
        <v>45107.4368148706</v>
      </c>
      <c r="Y75" s="40" t="n">
        <f aca="false">W75*12*$B$19/Assumptions!$C$18</f>
        <v>56384.2960185883</v>
      </c>
      <c r="Z75" s="40" t="n">
        <f aca="false">J75*(T75+Assumptions!$C$16)</f>
        <v>108750</v>
      </c>
      <c r="AA75" s="56" t="n">
        <f aca="false">IF(ISNUMBER(F75),F75,IF(H75&gt;=2000,4,3))</f>
        <v>3</v>
      </c>
      <c r="AB75" s="40" t="n">
        <f aca="false">IFERROR(INDEX($E$18:$H$25,MATCH(D75,$D$18:$D$25,0),1+IF(AA75&gt;=4,2,0)+IF(Q75="Y",1,0)),0)</f>
        <v>42000</v>
      </c>
      <c r="AC75" s="42" t="n">
        <f aca="false">IFERROR(AB75/X75,0)</f>
        <v>0.931110321616719</v>
      </c>
      <c r="AD75" s="57" t="str">
        <f aca="false">IF(ISNUMBER(SEARCH("Mobile",E75)),"EXCLUDED",IF(AB75&gt;=Y75,"PASS",IF(AB75&gt;=X75,"MARGINAL","FAIL")))</f>
        <v>FAIL</v>
      </c>
      <c r="AE75" s="35"/>
    </row>
    <row r="76" customFormat="false" ht="23.85" hidden="false" customHeight="false" outlineLevel="0" collapsed="false">
      <c r="A76" s="27" t="s">
        <v>634</v>
      </c>
      <c r="B76" s="27" t="s">
        <v>629</v>
      </c>
      <c r="C76" s="27" t="s">
        <v>18</v>
      </c>
      <c r="D76" s="27" t="s">
        <v>484</v>
      </c>
      <c r="E76" s="27" t="s">
        <v>506</v>
      </c>
      <c r="F76" s="27"/>
      <c r="G76" s="27" t="n">
        <v>2</v>
      </c>
      <c r="H76" s="52" t="n">
        <v>2250</v>
      </c>
      <c r="I76" s="13" t="n">
        <v>1958</v>
      </c>
      <c r="J76" s="19" t="n">
        <v>475000</v>
      </c>
      <c r="K76" s="13" t="n">
        <v>19</v>
      </c>
      <c r="L76" s="27" t="s">
        <v>635</v>
      </c>
      <c r="M76" s="19" t="n">
        <v>150000</v>
      </c>
      <c r="N76" s="19" t="n">
        <v>396133</v>
      </c>
      <c r="O76" s="27" t="s">
        <v>448</v>
      </c>
      <c r="P76" s="27" t="s">
        <v>154</v>
      </c>
      <c r="Q76" s="27" t="s">
        <v>154</v>
      </c>
      <c r="R76" s="27" t="s">
        <v>69</v>
      </c>
      <c r="S76" s="27" t="s">
        <v>532</v>
      </c>
      <c r="T76" s="28" t="n">
        <f aca="false">Assumptions!$C$15</f>
        <v>0.25</v>
      </c>
      <c r="U76" s="21" t="n">
        <f aca="false">J76*(1-T76)</f>
        <v>356250</v>
      </c>
      <c r="V76" s="29" t="n">
        <f aca="false">IF((1-T76)&gt;0.75,Assumptions!$C$11,IF((1-T76)&gt;0.7,Assumptions!$C$12,Assumptions!$C$13))</f>
        <v>0.0725</v>
      </c>
      <c r="W76" s="21" t="n">
        <f aca="false">PMT(V76/12,Assumptions!$C$14,-U76)+J76*INDEX(Assumptions!$C$28:$C$34,MATCH(C76,Assumptions!$B$28:$B$34,0))/12+(INDEX(Assumptions!$D$28:$D$34,MATCH(C76,Assumptions!$B$28:$B$34,0))+INDEX(Assumptions!$C$22:$C$25,MATCH(R76,Assumptions!$B$22:$B$25,0)))/12</f>
        <v>3730.25299770018</v>
      </c>
      <c r="X76" s="21" t="n">
        <f aca="false">W76*12*$B$18/Assumptions!$C$18</f>
        <v>55953.7949655028</v>
      </c>
      <c r="Y76" s="21" t="n">
        <f aca="false">W76*12*$B$19/Assumptions!$C$18</f>
        <v>69942.2437068784</v>
      </c>
      <c r="Z76" s="21" t="n">
        <f aca="false">J76*(T76+Assumptions!$C$16)</f>
        <v>137750</v>
      </c>
      <c r="AA76" s="53" t="n">
        <f aca="false">IF(ISNUMBER(F76),F76,IF(H76&gt;=2000,4,3))</f>
        <v>4</v>
      </c>
      <c r="AB76" s="21" t="n">
        <f aca="false">IFERROR(INDEX($E$18:$H$25,MATCH(D76,$D$18:$D$25,0),1+IF(AA76&gt;=4,2,0)+IF(Q76="Y",1,0)),0)</f>
        <v>52000</v>
      </c>
      <c r="AC76" s="30" t="n">
        <f aca="false">IFERROR(AB76/X76,0)</f>
        <v>0.929338216148871</v>
      </c>
      <c r="AD76" s="4" t="str">
        <f aca="false">IF(ISNUMBER(SEARCH("Mobile",E76)),"EXCLUDED",IF(AB76&gt;=Y76,"PASS",IF(AB76&gt;=X76,"MARGINAL","FAIL")))</f>
        <v>FAIL</v>
      </c>
      <c r="AE76" s="26" t="s">
        <v>546</v>
      </c>
    </row>
    <row r="77" customFormat="false" ht="23.85" hidden="false" customHeight="false" outlineLevel="0" collapsed="false">
      <c r="A77" s="36" t="s">
        <v>636</v>
      </c>
      <c r="B77" s="36" t="s">
        <v>310</v>
      </c>
      <c r="C77" s="36" t="s">
        <v>18</v>
      </c>
      <c r="D77" s="36" t="s">
        <v>484</v>
      </c>
      <c r="E77" s="36" t="s">
        <v>506</v>
      </c>
      <c r="F77" s="36"/>
      <c r="G77" s="36" t="n">
        <v>1</v>
      </c>
      <c r="H77" s="55" t="n">
        <v>1263</v>
      </c>
      <c r="I77" s="34" t="n">
        <v>1966</v>
      </c>
      <c r="J77" s="37" t="n">
        <v>519000</v>
      </c>
      <c r="K77" s="34" t="n">
        <v>20</v>
      </c>
      <c r="L77" s="36" t="s">
        <v>637</v>
      </c>
      <c r="M77" s="37" t="n">
        <v>455000</v>
      </c>
      <c r="N77" s="37" t="n">
        <v>196320</v>
      </c>
      <c r="O77" s="36" t="s">
        <v>448</v>
      </c>
      <c r="P77" s="36" t="s">
        <v>154</v>
      </c>
      <c r="Q77" s="36" t="s">
        <v>145</v>
      </c>
      <c r="R77" s="36" t="s">
        <v>71</v>
      </c>
      <c r="S77" s="36" t="s">
        <v>520</v>
      </c>
      <c r="T77" s="39" t="n">
        <f aca="false">Assumptions!$C$15</f>
        <v>0.25</v>
      </c>
      <c r="U77" s="40" t="n">
        <f aca="false">J77*(1-T77)</f>
        <v>389250</v>
      </c>
      <c r="V77" s="41" t="n">
        <f aca="false">IF((1-T77)&gt;0.75,Assumptions!$C$11,IF((1-T77)&gt;0.7,Assumptions!$C$12,Assumptions!$C$13))</f>
        <v>0.0725</v>
      </c>
      <c r="W77" s="40" t="n">
        <f aca="false">PMT(V77/12,Assumptions!$C$14,-U77)+J77*INDEX(Assumptions!$C$28:$C$34,MATCH(C77,Assumptions!$B$28:$B$34,0))/12+(INDEX(Assumptions!$D$28:$D$34,MATCH(C77,Assumptions!$B$28:$B$34,0))+INDEX(Assumptions!$C$22:$C$25,MATCH(R77,Assumptions!$B$22:$B$25,0)))/12</f>
        <v>4305.70450345206</v>
      </c>
      <c r="X77" s="40" t="n">
        <f aca="false">W77*12*$B$18/Assumptions!$C$18</f>
        <v>64585.5675517809</v>
      </c>
      <c r="Y77" s="40" t="n">
        <f aca="false">W77*12*$B$19/Assumptions!$C$18</f>
        <v>80731.9594397261</v>
      </c>
      <c r="Z77" s="40" t="n">
        <f aca="false">J77*(T77+Assumptions!$C$16)</f>
        <v>150510</v>
      </c>
      <c r="AA77" s="56" t="n">
        <f aca="false">IF(ISNUMBER(F77),F77,IF(H77&gt;=2000,4,3))</f>
        <v>3</v>
      </c>
      <c r="AB77" s="40" t="n">
        <f aca="false">IFERROR(INDEX($E$18:$H$25,MATCH(D77,$D$18:$D$25,0),1+IF(AA77&gt;=4,2,0)+IF(Q77="Y",1,0)),0)</f>
        <v>60000</v>
      </c>
      <c r="AC77" s="42" t="n">
        <f aca="false">IFERROR(AB77/X77,0)</f>
        <v>0.929000119909073</v>
      </c>
      <c r="AD77" s="57" t="str">
        <f aca="false">IF(ISNUMBER(SEARCH("Mobile",E77)),"EXCLUDED",IF(AB77&gt;=Y77,"PASS",IF(AB77&gt;=X77,"MARGINAL","FAIL")))</f>
        <v>FAIL</v>
      </c>
      <c r="AE77" s="35" t="s">
        <v>546</v>
      </c>
    </row>
    <row r="78" customFormat="false" ht="15" hidden="false" customHeight="false" outlineLevel="0" collapsed="false">
      <c r="A78" s="27" t="s">
        <v>638</v>
      </c>
      <c r="B78" s="27" t="s">
        <v>639</v>
      </c>
      <c r="C78" s="27" t="s">
        <v>82</v>
      </c>
      <c r="D78" s="27" t="s">
        <v>482</v>
      </c>
      <c r="E78" s="27" t="s">
        <v>506</v>
      </c>
      <c r="F78" s="27" t="n">
        <v>3</v>
      </c>
      <c r="G78" s="27" t="n">
        <v>2</v>
      </c>
      <c r="H78" s="52" t="n">
        <v>1911</v>
      </c>
      <c r="I78" s="13" t="n">
        <v>1989</v>
      </c>
      <c r="J78" s="19" t="n">
        <v>425000</v>
      </c>
      <c r="K78" s="13" t="n">
        <v>152</v>
      </c>
      <c r="L78" s="27" t="s">
        <v>640</v>
      </c>
      <c r="M78" s="19" t="n">
        <v>325000</v>
      </c>
      <c r="N78" s="19" t="n">
        <v>449597</v>
      </c>
      <c r="O78" s="27" t="s">
        <v>458</v>
      </c>
      <c r="P78" s="27" t="s">
        <v>154</v>
      </c>
      <c r="Q78" s="27" t="s">
        <v>145</v>
      </c>
      <c r="R78" s="27" t="s">
        <v>69</v>
      </c>
      <c r="S78" s="27" t="s">
        <v>516</v>
      </c>
      <c r="T78" s="28" t="n">
        <f aca="false">Assumptions!$C$15</f>
        <v>0.25</v>
      </c>
      <c r="U78" s="21" t="n">
        <f aca="false">J78*(1-T78)</f>
        <v>318750</v>
      </c>
      <c r="V78" s="29" t="n">
        <f aca="false">IF((1-T78)&gt;0.75,Assumptions!$C$11,IF((1-T78)&gt;0.7,Assumptions!$C$12,Assumptions!$C$13))</f>
        <v>0.0725</v>
      </c>
      <c r="W78" s="21" t="n">
        <f aca="false">PMT(V78/12,Assumptions!$C$14,-U78)+J78*INDEX(Assumptions!$C$28:$C$34,MATCH(C78,Assumptions!$B$28:$B$34,0))/12+(INDEX(Assumptions!$D$28:$D$34,MATCH(C78,Assumptions!$B$28:$B$34,0))+INDEX(Assumptions!$C$22:$C$25,MATCH(R78,Assumptions!$B$22:$B$25,0)))/12</f>
        <v>3319.22855934578</v>
      </c>
      <c r="X78" s="21" t="n">
        <f aca="false">W78*12*$B$18/Assumptions!$C$18</f>
        <v>49788.4283901867</v>
      </c>
      <c r="Y78" s="21" t="n">
        <f aca="false">W78*12*$B$19/Assumptions!$C$18</f>
        <v>62235.5354877333</v>
      </c>
      <c r="Z78" s="21" t="n">
        <f aca="false">J78*(T78+Assumptions!$C$16)</f>
        <v>123250</v>
      </c>
      <c r="AA78" s="53" t="n">
        <f aca="false">IF(ISNUMBER(F78),F78,IF(H78&gt;=2000,4,3))</f>
        <v>3</v>
      </c>
      <c r="AB78" s="21" t="n">
        <f aca="false">IFERROR(INDEX($E$18:$H$25,MATCH(D78,$D$18:$D$25,0),1+IF(AA78&gt;=4,2,0)+IF(Q78="Y",1,0)),0)</f>
        <v>46000</v>
      </c>
      <c r="AC78" s="30" t="n">
        <f aca="false">IFERROR(AB78/X78,0)</f>
        <v>0.92390946023648</v>
      </c>
      <c r="AD78" s="4" t="str">
        <f aca="false">IF(ISNUMBER(SEARCH("Mobile",E78)),"EXCLUDED",IF(AB78&gt;=Y78,"PASS",IF(AB78&gt;=X78,"MARGINAL","FAIL")))</f>
        <v>FAIL</v>
      </c>
      <c r="AE78" s="26"/>
    </row>
    <row r="79" customFormat="false" ht="23.85" hidden="false" customHeight="false" outlineLevel="0" collapsed="false">
      <c r="A79" s="36" t="s">
        <v>641</v>
      </c>
      <c r="B79" s="36" t="s">
        <v>288</v>
      </c>
      <c r="C79" s="36" t="s">
        <v>18</v>
      </c>
      <c r="D79" s="36" t="s">
        <v>484</v>
      </c>
      <c r="E79" s="36" t="s">
        <v>552</v>
      </c>
      <c r="F79" s="36"/>
      <c r="G79" s="36"/>
      <c r="H79" s="55" t="n">
        <v>1534</v>
      </c>
      <c r="I79" s="34" t="n">
        <v>2023</v>
      </c>
      <c r="J79" s="37" t="n">
        <v>389000</v>
      </c>
      <c r="K79" s="34" t="n">
        <v>38</v>
      </c>
      <c r="L79" s="36" t="s">
        <v>642</v>
      </c>
      <c r="M79" s="37" t="n">
        <v>415000</v>
      </c>
      <c r="N79" s="37" t="n">
        <v>27861</v>
      </c>
      <c r="O79" s="36" t="s">
        <v>448</v>
      </c>
      <c r="P79" s="36" t="s">
        <v>154</v>
      </c>
      <c r="Q79" s="36" t="s">
        <v>154</v>
      </c>
      <c r="R79" s="36" t="s">
        <v>75</v>
      </c>
      <c r="S79" s="36" t="s">
        <v>520</v>
      </c>
      <c r="T79" s="39" t="n">
        <f aca="false">Assumptions!$C$15</f>
        <v>0.25</v>
      </c>
      <c r="U79" s="40" t="n">
        <f aca="false">J79*(1-T79)</f>
        <v>291750</v>
      </c>
      <c r="V79" s="41" t="n">
        <f aca="false">IF((1-T79)&gt;0.75,Assumptions!$C$11,IF((1-T79)&gt;0.7,Assumptions!$C$12,Assumptions!$C$13))</f>
        <v>0.0725</v>
      </c>
      <c r="W79" s="40" t="n">
        <f aca="false">PMT(V79/12,Assumptions!$C$14,-U79)+J79*INDEX(Assumptions!$C$28:$C$34,MATCH(C79,Assumptions!$B$28:$B$34,0))/12+(INDEX(Assumptions!$D$28:$D$34,MATCH(C79,Assumptions!$B$28:$B$34,0))+INDEX(Assumptions!$C$22:$C$25,MATCH(R79,Assumptions!$B$22:$B$25,0)))/12</f>
        <v>3258.91596373061</v>
      </c>
      <c r="X79" s="40" t="n">
        <f aca="false">W79*12*$B$18/Assumptions!$C$18</f>
        <v>48883.7394559591</v>
      </c>
      <c r="Y79" s="40" t="n">
        <f aca="false">W79*12*$B$19/Assumptions!$C$18</f>
        <v>61104.6743199489</v>
      </c>
      <c r="Z79" s="40" t="n">
        <f aca="false">J79*(T79+Assumptions!$C$16)</f>
        <v>112810</v>
      </c>
      <c r="AA79" s="56" t="n">
        <f aca="false">IF(ISNUMBER(F79),F79,IF(H79&gt;=2000,4,3))</f>
        <v>3</v>
      </c>
      <c r="AB79" s="40" t="n">
        <f aca="false">IFERROR(INDEX($E$18:$H$25,MATCH(D79,$D$18:$D$25,0),1+IF(AA79&gt;=4,2,0)+IF(Q79="Y",1,0)),0)</f>
        <v>45000</v>
      </c>
      <c r="AC79" s="42" t="n">
        <f aca="false">IFERROR(AB79/X79,0)</f>
        <v>0.920551506509479</v>
      </c>
      <c r="AD79" s="57" t="str">
        <f aca="false">IF(ISNUMBER(SEARCH("Mobile",E79)),"EXCLUDED",IF(AB79&gt;=Y79,"PASS",IF(AB79&gt;=X79,"MARGINAL","FAIL")))</f>
        <v>FAIL</v>
      </c>
      <c r="AE79" s="35" t="s">
        <v>546</v>
      </c>
    </row>
    <row r="80" customFormat="false" ht="15" hidden="false" customHeight="false" outlineLevel="0" collapsed="false">
      <c r="A80" s="27" t="s">
        <v>643</v>
      </c>
      <c r="B80" s="27" t="s">
        <v>644</v>
      </c>
      <c r="C80" s="27" t="s">
        <v>80</v>
      </c>
      <c r="D80" s="27" t="s">
        <v>480</v>
      </c>
      <c r="E80" s="27" t="s">
        <v>506</v>
      </c>
      <c r="F80" s="27" t="n">
        <v>3</v>
      </c>
      <c r="G80" s="27" t="n">
        <v>2</v>
      </c>
      <c r="H80" s="52" t="n">
        <v>1487</v>
      </c>
      <c r="I80" s="13" t="n">
        <v>2005</v>
      </c>
      <c r="J80" s="19" t="n">
        <v>424990</v>
      </c>
      <c r="K80" s="13" t="n">
        <v>55</v>
      </c>
      <c r="L80" s="27"/>
      <c r="M80" s="19"/>
      <c r="N80" s="19" t="n">
        <v>26356</v>
      </c>
      <c r="O80" s="27" t="s">
        <v>453</v>
      </c>
      <c r="P80" s="27" t="s">
        <v>154</v>
      </c>
      <c r="Q80" s="27" t="s">
        <v>145</v>
      </c>
      <c r="R80" s="27" t="s">
        <v>69</v>
      </c>
      <c r="S80" s="27" t="s">
        <v>597</v>
      </c>
      <c r="T80" s="28" t="n">
        <f aca="false">Assumptions!$C$15</f>
        <v>0.25</v>
      </c>
      <c r="U80" s="21" t="n">
        <f aca="false">J80*(1-T80)</f>
        <v>318742.5</v>
      </c>
      <c r="V80" s="29" t="n">
        <f aca="false">IF((1-T80)&gt;0.75,Assumptions!$C$11,IF((1-T80)&gt;0.7,Assumptions!$C$12,Assumptions!$C$13))</f>
        <v>0.0725</v>
      </c>
      <c r="W80" s="21" t="n">
        <f aca="false">PMT(V80/12,Assumptions!$C$14,-U80)+J80*INDEX(Assumptions!$C$28:$C$34,MATCH(C80,Assumptions!$B$28:$B$34,0))/12+(INDEX(Assumptions!$D$28:$D$34,MATCH(C80,Assumptions!$B$28:$B$34,0))+INDEX(Assumptions!$C$22:$C$25,MATCH(R80,Assumptions!$B$22:$B$25,0)))/12</f>
        <v>3372.28989612477</v>
      </c>
      <c r="X80" s="21" t="n">
        <f aca="false">W80*12*$B$18/Assumptions!$C$18</f>
        <v>50584.3484418716</v>
      </c>
      <c r="Y80" s="21" t="n">
        <f aca="false">W80*12*$B$19/Assumptions!$C$18</f>
        <v>63230.4355523395</v>
      </c>
      <c r="Z80" s="21" t="n">
        <f aca="false">J80*(T80+Assumptions!$C$16)</f>
        <v>123247.1</v>
      </c>
      <c r="AA80" s="53" t="n">
        <f aca="false">IF(ISNUMBER(F80),F80,IF(H80&gt;=2000,4,3))</f>
        <v>3</v>
      </c>
      <c r="AB80" s="21" t="n">
        <f aca="false">IFERROR(INDEX($E$18:$H$25,MATCH(D80,$D$18:$D$25,0),1+IF(AA80&gt;=4,2,0)+IF(Q80="Y",1,0)),0)</f>
        <v>46000</v>
      </c>
      <c r="AC80" s="30" t="n">
        <f aca="false">IFERROR(AB80/X80,0)</f>
        <v>0.909372195489685</v>
      </c>
      <c r="AD80" s="4" t="str">
        <f aca="false">IF(ISNUMBER(SEARCH("Mobile",E80)),"EXCLUDED",IF(AB80&gt;=Y80,"PASS",IF(AB80&gt;=X80,"MARGINAL","FAIL")))</f>
        <v>FAIL</v>
      </c>
      <c r="AE80" s="26"/>
    </row>
    <row r="81" customFormat="false" ht="23.85" hidden="false" customHeight="false" outlineLevel="0" collapsed="false">
      <c r="A81" s="36" t="s">
        <v>645</v>
      </c>
      <c r="B81" s="36" t="s">
        <v>297</v>
      </c>
      <c r="C81" s="36" t="s">
        <v>18</v>
      </c>
      <c r="D81" s="36" t="s">
        <v>484</v>
      </c>
      <c r="E81" s="36" t="s">
        <v>506</v>
      </c>
      <c r="F81" s="36"/>
      <c r="G81" s="36" t="n">
        <v>2.5</v>
      </c>
      <c r="H81" s="55" t="n">
        <v>1740</v>
      </c>
      <c r="I81" s="34" t="n">
        <v>1959</v>
      </c>
      <c r="J81" s="37" t="n">
        <v>579000</v>
      </c>
      <c r="K81" s="34" t="n">
        <v>30</v>
      </c>
      <c r="L81" s="36" t="s">
        <v>646</v>
      </c>
      <c r="M81" s="37" t="n">
        <v>203000</v>
      </c>
      <c r="N81" s="37" t="n">
        <v>270969</v>
      </c>
      <c r="O81" s="36" t="s">
        <v>458</v>
      </c>
      <c r="P81" s="36" t="s">
        <v>154</v>
      </c>
      <c r="Q81" s="36" t="s">
        <v>145</v>
      </c>
      <c r="R81" s="36" t="s">
        <v>69</v>
      </c>
      <c r="S81" s="36" t="s">
        <v>532</v>
      </c>
      <c r="T81" s="39" t="n">
        <f aca="false">Assumptions!$C$15</f>
        <v>0.25</v>
      </c>
      <c r="U81" s="40" t="n">
        <f aca="false">J81*(1-T81)</f>
        <v>434250</v>
      </c>
      <c r="V81" s="41" t="n">
        <f aca="false">IF((1-T81)&gt;0.75,Assumptions!$C$11,IF((1-T81)&gt;0.7,Assumptions!$C$12,Assumptions!$C$13))</f>
        <v>0.0725</v>
      </c>
      <c r="W81" s="40" t="n">
        <f aca="false">PMT(V81/12,Assumptions!$C$14,-U81)+J81*INDEX(Assumptions!$C$28:$C$34,MATCH(C81,Assumptions!$B$28:$B$34,0))/12+(INDEX(Assumptions!$D$28:$D$34,MATCH(C81,Assumptions!$B$28:$B$34,0))+INDEX(Assumptions!$C$22:$C$25,MATCH(R81,Assumptions!$B$22:$B$25,0)))/12</f>
        <v>4401.01716281068</v>
      </c>
      <c r="X81" s="40" t="n">
        <f aca="false">W81*12*$B$18/Assumptions!$C$18</f>
        <v>66015.2574421602</v>
      </c>
      <c r="Y81" s="40" t="n">
        <f aca="false">W81*12*$B$19/Assumptions!$C$18</f>
        <v>82519.0718027002</v>
      </c>
      <c r="Z81" s="40" t="n">
        <f aca="false">J81*(T81+Assumptions!$C$16)</f>
        <v>167910</v>
      </c>
      <c r="AA81" s="56" t="n">
        <f aca="false">IF(ISNUMBER(F81),F81,IF(H81&gt;=2000,4,3))</f>
        <v>3</v>
      </c>
      <c r="AB81" s="40" t="n">
        <f aca="false">IFERROR(INDEX($E$18:$H$25,MATCH(D81,$D$18:$D$25,0),1+IF(AA81&gt;=4,2,0)+IF(Q81="Y",1,0)),0)</f>
        <v>60000</v>
      </c>
      <c r="AC81" s="42" t="n">
        <f aca="false">IFERROR(AB81/X81,0)</f>
        <v>0.908880800057009</v>
      </c>
      <c r="AD81" s="57" t="str">
        <f aca="false">IF(ISNUMBER(SEARCH("Mobile",E81)),"EXCLUDED",IF(AB81&gt;=Y81,"PASS",IF(AB81&gt;=X81,"MARGINAL","FAIL")))</f>
        <v>FAIL</v>
      </c>
      <c r="AE81" s="35" t="s">
        <v>546</v>
      </c>
    </row>
    <row r="82" customFormat="false" ht="23.85" hidden="false" customHeight="false" outlineLevel="0" collapsed="false">
      <c r="A82" s="27" t="s">
        <v>647</v>
      </c>
      <c r="B82" s="27" t="s">
        <v>244</v>
      </c>
      <c r="C82" s="27" t="s">
        <v>18</v>
      </c>
      <c r="D82" s="27" t="s">
        <v>484</v>
      </c>
      <c r="E82" s="27" t="s">
        <v>506</v>
      </c>
      <c r="F82" s="27"/>
      <c r="G82" s="27" t="n">
        <v>1.5</v>
      </c>
      <c r="H82" s="52" t="n">
        <v>1228</v>
      </c>
      <c r="I82" s="13" t="n">
        <v>1962</v>
      </c>
      <c r="J82" s="19" t="n">
        <v>415000</v>
      </c>
      <c r="K82" s="13" t="n">
        <v>59</v>
      </c>
      <c r="L82" s="27" t="s">
        <v>648</v>
      </c>
      <c r="M82" s="19" t="n">
        <v>41000</v>
      </c>
      <c r="N82" s="19" t="n">
        <v>269229</v>
      </c>
      <c r="O82" s="27" t="s">
        <v>448</v>
      </c>
      <c r="P82" s="27" t="s">
        <v>154</v>
      </c>
      <c r="Q82" s="27" t="s">
        <v>154</v>
      </c>
      <c r="R82" s="27" t="s">
        <v>69</v>
      </c>
      <c r="S82" s="27" t="s">
        <v>520</v>
      </c>
      <c r="T82" s="28" t="n">
        <f aca="false">Assumptions!$C$15</f>
        <v>0.25</v>
      </c>
      <c r="U82" s="21" t="n">
        <f aca="false">J82*(1-T82)</f>
        <v>311250</v>
      </c>
      <c r="V82" s="29" t="n">
        <f aca="false">IF((1-T82)&gt;0.75,Assumptions!$C$11,IF((1-T82)&gt;0.7,Assumptions!$C$12,Assumptions!$C$13))</f>
        <v>0.0725</v>
      </c>
      <c r="W82" s="21" t="n">
        <f aca="false">PMT(V82/12,Assumptions!$C$14,-U82)+J82*INDEX(Assumptions!$C$28:$C$34,MATCH(C82,Assumptions!$B$28:$B$34,0))/12+(INDEX(Assumptions!$D$28:$D$34,MATCH(C82,Assumptions!$B$28:$B$34,0))+INDEX(Assumptions!$C$22:$C$25,MATCH(R82,Assumptions!$B$22:$B$25,0)))/12</f>
        <v>3343.2736716749</v>
      </c>
      <c r="X82" s="21" t="n">
        <f aca="false">W82*12*$B$18/Assumptions!$C$18</f>
        <v>50149.1050751235</v>
      </c>
      <c r="Y82" s="21" t="n">
        <f aca="false">W82*12*$B$19/Assumptions!$C$18</f>
        <v>62686.3813439043</v>
      </c>
      <c r="Z82" s="21" t="n">
        <f aca="false">J82*(T82+Assumptions!$C$16)</f>
        <v>120350</v>
      </c>
      <c r="AA82" s="53" t="n">
        <f aca="false">IF(ISNUMBER(F82),F82,IF(H82&gt;=2000,4,3))</f>
        <v>3</v>
      </c>
      <c r="AB82" s="21" t="n">
        <f aca="false">IFERROR(INDEX($E$18:$H$25,MATCH(D82,$D$18:$D$25,0),1+IF(AA82&gt;=4,2,0)+IF(Q82="Y",1,0)),0)</f>
        <v>45000</v>
      </c>
      <c r="AC82" s="30" t="n">
        <f aca="false">IFERROR(AB82/X82,0)</f>
        <v>0.89732408848752</v>
      </c>
      <c r="AD82" s="4" t="str">
        <f aca="false">IF(ISNUMBER(SEARCH("Mobile",E82)),"EXCLUDED",IF(AB82&gt;=Y82,"PASS",IF(AB82&gt;=X82,"MARGINAL","FAIL")))</f>
        <v>FAIL</v>
      </c>
      <c r="AE82" s="26" t="s">
        <v>546</v>
      </c>
    </row>
    <row r="83" customFormat="false" ht="23.85" hidden="false" customHeight="false" outlineLevel="0" collapsed="false">
      <c r="A83" s="36" t="s">
        <v>649</v>
      </c>
      <c r="B83" s="36" t="s">
        <v>310</v>
      </c>
      <c r="C83" s="36" t="s">
        <v>18</v>
      </c>
      <c r="D83" s="36" t="s">
        <v>484</v>
      </c>
      <c r="E83" s="36" t="s">
        <v>506</v>
      </c>
      <c r="F83" s="36"/>
      <c r="G83" s="36" t="n">
        <v>2</v>
      </c>
      <c r="H83" s="55" t="n">
        <v>1749</v>
      </c>
      <c r="I83" s="34" t="n">
        <v>1981</v>
      </c>
      <c r="J83" s="37" t="n">
        <v>415000</v>
      </c>
      <c r="K83" s="34" t="n">
        <v>96</v>
      </c>
      <c r="L83" s="36" t="s">
        <v>650</v>
      </c>
      <c r="M83" s="37" t="n">
        <v>100</v>
      </c>
      <c r="N83" s="37" t="n">
        <v>440092</v>
      </c>
      <c r="O83" s="36" t="s">
        <v>453</v>
      </c>
      <c r="P83" s="36" t="s">
        <v>154</v>
      </c>
      <c r="Q83" s="36" t="s">
        <v>154</v>
      </c>
      <c r="R83" s="36" t="s">
        <v>69</v>
      </c>
      <c r="S83" s="36" t="s">
        <v>520</v>
      </c>
      <c r="T83" s="39" t="n">
        <f aca="false">Assumptions!$C$15</f>
        <v>0.25</v>
      </c>
      <c r="U83" s="40" t="n">
        <f aca="false">J83*(1-T83)</f>
        <v>311250</v>
      </c>
      <c r="V83" s="41" t="n">
        <f aca="false">IF((1-T83)&gt;0.75,Assumptions!$C$11,IF((1-T83)&gt;0.7,Assumptions!$C$12,Assumptions!$C$13))</f>
        <v>0.0725</v>
      </c>
      <c r="W83" s="40" t="n">
        <f aca="false">PMT(V83/12,Assumptions!$C$14,-U83)+J83*INDEX(Assumptions!$C$28:$C$34,MATCH(C83,Assumptions!$B$28:$B$34,0))/12+(INDEX(Assumptions!$D$28:$D$34,MATCH(C83,Assumptions!$B$28:$B$34,0))+INDEX(Assumptions!$C$22:$C$25,MATCH(R83,Assumptions!$B$22:$B$25,0)))/12</f>
        <v>3343.2736716749</v>
      </c>
      <c r="X83" s="40" t="n">
        <f aca="false">W83*12*$B$18/Assumptions!$C$18</f>
        <v>50149.1050751235</v>
      </c>
      <c r="Y83" s="40" t="n">
        <f aca="false">W83*12*$B$19/Assumptions!$C$18</f>
        <v>62686.3813439043</v>
      </c>
      <c r="Z83" s="40" t="n">
        <f aca="false">J83*(T83+Assumptions!$C$16)</f>
        <v>120350</v>
      </c>
      <c r="AA83" s="56" t="n">
        <f aca="false">IF(ISNUMBER(F83),F83,IF(H83&gt;=2000,4,3))</f>
        <v>3</v>
      </c>
      <c r="AB83" s="40" t="n">
        <f aca="false">IFERROR(INDEX($E$18:$H$25,MATCH(D83,$D$18:$D$25,0),1+IF(AA83&gt;=4,2,0)+IF(Q83="Y",1,0)),0)</f>
        <v>45000</v>
      </c>
      <c r="AC83" s="42" t="n">
        <f aca="false">IFERROR(AB83/X83,0)</f>
        <v>0.89732408848752</v>
      </c>
      <c r="AD83" s="57" t="str">
        <f aca="false">IF(ISNUMBER(SEARCH("Mobile",E83)),"EXCLUDED",IF(AB83&gt;=Y83,"PASS",IF(AB83&gt;=X83,"MARGINAL","FAIL")))</f>
        <v>FAIL</v>
      </c>
      <c r="AE83" s="35" t="s">
        <v>546</v>
      </c>
    </row>
    <row r="84" customFormat="false" ht="23.85" hidden="false" customHeight="false" outlineLevel="0" collapsed="false">
      <c r="A84" s="27" t="s">
        <v>651</v>
      </c>
      <c r="B84" s="27" t="s">
        <v>297</v>
      </c>
      <c r="C84" s="27" t="s">
        <v>18</v>
      </c>
      <c r="D84" s="27" t="s">
        <v>484</v>
      </c>
      <c r="E84" s="27" t="s">
        <v>506</v>
      </c>
      <c r="F84" s="27"/>
      <c r="G84" s="27" t="n">
        <v>1.5</v>
      </c>
      <c r="H84" s="52" t="n">
        <v>1305</v>
      </c>
      <c r="I84" s="13" t="n">
        <v>1959</v>
      </c>
      <c r="J84" s="19" t="n">
        <v>415000</v>
      </c>
      <c r="K84" s="13" t="n">
        <v>81</v>
      </c>
      <c r="L84" s="27"/>
      <c r="M84" s="19"/>
      <c r="N84" s="19" t="n">
        <v>144061</v>
      </c>
      <c r="O84" s="27" t="s">
        <v>453</v>
      </c>
      <c r="P84" s="27" t="s">
        <v>154</v>
      </c>
      <c r="Q84" s="27" t="s">
        <v>154</v>
      </c>
      <c r="R84" s="27" t="s">
        <v>69</v>
      </c>
      <c r="S84" s="27" t="s">
        <v>532</v>
      </c>
      <c r="T84" s="28" t="n">
        <f aca="false">Assumptions!$C$15</f>
        <v>0.25</v>
      </c>
      <c r="U84" s="21" t="n">
        <f aca="false">J84*(1-T84)</f>
        <v>311250</v>
      </c>
      <c r="V84" s="29" t="n">
        <f aca="false">IF((1-T84)&gt;0.75,Assumptions!$C$11,IF((1-T84)&gt;0.7,Assumptions!$C$12,Assumptions!$C$13))</f>
        <v>0.0725</v>
      </c>
      <c r="W84" s="21" t="n">
        <f aca="false">PMT(V84/12,Assumptions!$C$14,-U84)+J84*INDEX(Assumptions!$C$28:$C$34,MATCH(C84,Assumptions!$B$28:$B$34,0))/12+(INDEX(Assumptions!$D$28:$D$34,MATCH(C84,Assumptions!$B$28:$B$34,0))+INDEX(Assumptions!$C$22:$C$25,MATCH(R84,Assumptions!$B$22:$B$25,0)))/12</f>
        <v>3343.2736716749</v>
      </c>
      <c r="X84" s="21" t="n">
        <f aca="false">W84*12*$B$18/Assumptions!$C$18</f>
        <v>50149.1050751235</v>
      </c>
      <c r="Y84" s="21" t="n">
        <f aca="false">W84*12*$B$19/Assumptions!$C$18</f>
        <v>62686.3813439043</v>
      </c>
      <c r="Z84" s="21" t="n">
        <f aca="false">J84*(T84+Assumptions!$C$16)</f>
        <v>120350</v>
      </c>
      <c r="AA84" s="53" t="n">
        <f aca="false">IF(ISNUMBER(F84),F84,IF(H84&gt;=2000,4,3))</f>
        <v>3</v>
      </c>
      <c r="AB84" s="21" t="n">
        <f aca="false">IFERROR(INDEX($E$18:$H$25,MATCH(D84,$D$18:$D$25,0),1+IF(AA84&gt;=4,2,0)+IF(Q84="Y",1,0)),0)</f>
        <v>45000</v>
      </c>
      <c r="AC84" s="30" t="n">
        <f aca="false">IFERROR(AB84/X84,0)</f>
        <v>0.89732408848752</v>
      </c>
      <c r="AD84" s="4" t="str">
        <f aca="false">IF(ISNUMBER(SEARCH("Mobile",E84)),"EXCLUDED",IF(AB84&gt;=Y84,"PASS",IF(AB84&gt;=X84,"MARGINAL","FAIL")))</f>
        <v>FAIL</v>
      </c>
      <c r="AE84" s="26" t="s">
        <v>546</v>
      </c>
    </row>
    <row r="85" customFormat="false" ht="15" hidden="false" customHeight="false" outlineLevel="0" collapsed="false">
      <c r="A85" s="36" t="s">
        <v>652</v>
      </c>
      <c r="B85" s="36" t="s">
        <v>331</v>
      </c>
      <c r="C85" s="36" t="s">
        <v>85</v>
      </c>
      <c r="D85" s="36" t="s">
        <v>485</v>
      </c>
      <c r="E85" s="36" t="s">
        <v>506</v>
      </c>
      <c r="F85" s="36" t="n">
        <v>3</v>
      </c>
      <c r="G85" s="36" t="n">
        <v>2</v>
      </c>
      <c r="H85" s="55" t="n">
        <v>2110</v>
      </c>
      <c r="I85" s="34" t="n">
        <v>2008</v>
      </c>
      <c r="J85" s="37" t="n">
        <v>525000</v>
      </c>
      <c r="K85" s="34" t="n">
        <v>38</v>
      </c>
      <c r="L85" s="36" t="s">
        <v>653</v>
      </c>
      <c r="M85" s="37" t="n">
        <v>114900</v>
      </c>
      <c r="N85" s="37" t="n">
        <v>552939</v>
      </c>
      <c r="O85" s="36" t="s">
        <v>448</v>
      </c>
      <c r="P85" s="36" t="s">
        <v>154</v>
      </c>
      <c r="Q85" s="36" t="s">
        <v>145</v>
      </c>
      <c r="R85" s="36" t="s">
        <v>69</v>
      </c>
      <c r="S85" s="36" t="s">
        <v>508</v>
      </c>
      <c r="T85" s="39" t="n">
        <f aca="false">Assumptions!$C$15</f>
        <v>0.25</v>
      </c>
      <c r="U85" s="40" t="n">
        <f aca="false">J85*(1-T85)</f>
        <v>393750</v>
      </c>
      <c r="V85" s="41" t="n">
        <f aca="false">IF((1-T85)&gt;0.75,Assumptions!$C$11,IF((1-T85)&gt;0.7,Assumptions!$C$12,Assumptions!$C$13))</f>
        <v>0.0725</v>
      </c>
      <c r="W85" s="40" t="n">
        <f aca="false">PMT(V85/12,Assumptions!$C$14,-U85)+J85*INDEX(Assumptions!$C$28:$C$34,MATCH(C85,Assumptions!$B$28:$B$34,0))/12+(INDEX(Assumptions!$D$28:$D$34,MATCH(C85,Assumptions!$B$28:$B$34,0))+INDEX(Assumptions!$C$22:$C$25,MATCH(R85,Assumptions!$B$22:$B$25,0)))/12</f>
        <v>4096.48576938792</v>
      </c>
      <c r="X85" s="40" t="n">
        <f aca="false">W85*12*$B$18/Assumptions!$C$18</f>
        <v>61447.2865408188</v>
      </c>
      <c r="Y85" s="40" t="n">
        <f aca="false">W85*12*$B$19/Assumptions!$C$18</f>
        <v>76809.1081760235</v>
      </c>
      <c r="Z85" s="40" t="n">
        <f aca="false">J85*(T85+Assumptions!$C$16)</f>
        <v>152250</v>
      </c>
      <c r="AA85" s="56" t="n">
        <f aca="false">IF(ISNUMBER(F85),F85,IF(H85&gt;=2000,4,3))</f>
        <v>3</v>
      </c>
      <c r="AB85" s="40" t="n">
        <f aca="false">IFERROR(INDEX($E$18:$H$25,MATCH(D85,$D$18:$D$25,0),1+IF(AA85&gt;=4,2,0)+IF(Q85="Y",1,0)),0)</f>
        <v>55000</v>
      </c>
      <c r="AC85" s="42" t="n">
        <f aca="false">IFERROR(AB85/X85,0)</f>
        <v>0.895076139179295</v>
      </c>
      <c r="AD85" s="57" t="str">
        <f aca="false">IF(ISNUMBER(SEARCH("Mobile",E85)),"EXCLUDED",IF(AB85&gt;=Y85,"PASS",IF(AB85&gt;=X85,"MARGINAL","FAIL")))</f>
        <v>FAIL</v>
      </c>
      <c r="AE85" s="35"/>
    </row>
    <row r="86" customFormat="false" ht="15" hidden="false" customHeight="false" outlineLevel="0" collapsed="false">
      <c r="A86" s="27" t="s">
        <v>654</v>
      </c>
      <c r="B86" s="27" t="s">
        <v>338</v>
      </c>
      <c r="C86" s="27" t="s">
        <v>85</v>
      </c>
      <c r="D86" s="27" t="s">
        <v>485</v>
      </c>
      <c r="E86" s="27" t="s">
        <v>506</v>
      </c>
      <c r="F86" s="27" t="n">
        <v>3</v>
      </c>
      <c r="G86" s="27" t="n">
        <v>2</v>
      </c>
      <c r="H86" s="52" t="n">
        <v>1714</v>
      </c>
      <c r="I86" s="13" t="n">
        <v>1967</v>
      </c>
      <c r="J86" s="19" t="n">
        <v>485000</v>
      </c>
      <c r="K86" s="13" t="n">
        <v>101</v>
      </c>
      <c r="L86" s="27" t="s">
        <v>655</v>
      </c>
      <c r="M86" s="19" t="n">
        <v>360000</v>
      </c>
      <c r="N86" s="19" t="n">
        <v>474356</v>
      </c>
      <c r="O86" s="27" t="s">
        <v>448</v>
      </c>
      <c r="P86" s="27" t="s">
        <v>154</v>
      </c>
      <c r="Q86" s="27" t="s">
        <v>145</v>
      </c>
      <c r="R86" s="27" t="s">
        <v>71</v>
      </c>
      <c r="S86" s="27" t="s">
        <v>508</v>
      </c>
      <c r="T86" s="28" t="n">
        <f aca="false">Assumptions!$C$15</f>
        <v>0.25</v>
      </c>
      <c r="U86" s="21" t="n">
        <f aca="false">J86*(1-T86)</f>
        <v>363750</v>
      </c>
      <c r="V86" s="29" t="n">
        <f aca="false">IF((1-T86)&gt;0.75,Assumptions!$C$11,IF((1-T86)&gt;0.7,Assumptions!$C$12,Assumptions!$C$13))</f>
        <v>0.0725</v>
      </c>
      <c r="W86" s="21" t="n">
        <f aca="false">PMT(V86/12,Assumptions!$C$14,-U86)+J86*INDEX(Assumptions!$C$28:$C$34,MATCH(C86,Assumptions!$B$28:$B$34,0))/12+(INDEX(Assumptions!$D$28:$D$34,MATCH(C86,Assumptions!$B$28:$B$34,0))+INDEX(Assumptions!$C$22:$C$25,MATCH(R86,Assumptions!$B$22:$B$25,0)))/12</f>
        <v>4126.83288537107</v>
      </c>
      <c r="X86" s="21" t="n">
        <f aca="false">W86*12*$B$18/Assumptions!$C$18</f>
        <v>61902.493280566</v>
      </c>
      <c r="Y86" s="21" t="n">
        <f aca="false">W86*12*$B$19/Assumptions!$C$18</f>
        <v>77378.1166007075</v>
      </c>
      <c r="Z86" s="21" t="n">
        <f aca="false">J86*(T86+Assumptions!$C$16)</f>
        <v>140650</v>
      </c>
      <c r="AA86" s="53" t="n">
        <f aca="false">IF(ISNUMBER(F86),F86,IF(H86&gt;=2000,4,3))</f>
        <v>3</v>
      </c>
      <c r="AB86" s="21" t="n">
        <f aca="false">IFERROR(INDEX($E$18:$H$25,MATCH(D86,$D$18:$D$25,0),1+IF(AA86&gt;=4,2,0)+IF(Q86="Y",1,0)),0)</f>
        <v>55000</v>
      </c>
      <c r="AC86" s="30" t="n">
        <f aca="false">IFERROR(AB86/X86,0)</f>
        <v>0.888494099110335</v>
      </c>
      <c r="AD86" s="4" t="str">
        <f aca="false">IF(ISNUMBER(SEARCH("Mobile",E86)),"EXCLUDED",IF(AB86&gt;=Y86,"PASS",IF(AB86&gt;=X86,"MARGINAL","FAIL")))</f>
        <v>FAIL</v>
      </c>
      <c r="AE86" s="26"/>
    </row>
    <row r="87" customFormat="false" ht="23.85" hidden="false" customHeight="false" outlineLevel="0" collapsed="false">
      <c r="A87" s="36" t="s">
        <v>656</v>
      </c>
      <c r="B87" s="36" t="s">
        <v>548</v>
      </c>
      <c r="C87" s="36" t="s">
        <v>18</v>
      </c>
      <c r="D87" s="36" t="s">
        <v>484</v>
      </c>
      <c r="E87" s="36" t="s">
        <v>506</v>
      </c>
      <c r="F87" s="36"/>
      <c r="G87" s="36" t="n">
        <v>2</v>
      </c>
      <c r="H87" s="55" t="n">
        <v>1601</v>
      </c>
      <c r="I87" s="34" t="n">
        <v>1981</v>
      </c>
      <c r="J87" s="37" t="n">
        <v>594999</v>
      </c>
      <c r="K87" s="34" t="n">
        <v>61</v>
      </c>
      <c r="L87" s="36" t="s">
        <v>657</v>
      </c>
      <c r="M87" s="37" t="n">
        <v>232500</v>
      </c>
      <c r="N87" s="37" t="n">
        <v>362462</v>
      </c>
      <c r="O87" s="36" t="s">
        <v>453</v>
      </c>
      <c r="P87" s="36" t="s">
        <v>154</v>
      </c>
      <c r="Q87" s="36" t="s">
        <v>145</v>
      </c>
      <c r="R87" s="36" t="s">
        <v>69</v>
      </c>
      <c r="S87" s="36" t="s">
        <v>520</v>
      </c>
      <c r="T87" s="39" t="n">
        <f aca="false">Assumptions!$C$15</f>
        <v>0.25</v>
      </c>
      <c r="U87" s="40" t="n">
        <f aca="false">J87*(1-T87)</f>
        <v>446249.25</v>
      </c>
      <c r="V87" s="41" t="n">
        <f aca="false">IF((1-T87)&gt;0.75,Assumptions!$C$11,IF((1-T87)&gt;0.7,Assumptions!$C$12,Assumptions!$C$13))</f>
        <v>0.0725</v>
      </c>
      <c r="W87" s="40" t="n">
        <f aca="false">PMT(V87/12,Assumptions!$C$14,-U87)+J87*INDEX(Assumptions!$C$28:$C$34,MATCH(C87,Assumptions!$B$28:$B$34,0))/12+(INDEX(Assumptions!$D$28:$D$34,MATCH(C87,Assumptions!$B$28:$B$34,0))+INDEX(Assumptions!$C$22:$C$25,MATCH(R87,Assumptions!$B$22:$B$25,0)))/12</f>
        <v>4504.20520009532</v>
      </c>
      <c r="X87" s="40" t="n">
        <f aca="false">W87*12*$B$18/Assumptions!$C$18</f>
        <v>67563.0780014298</v>
      </c>
      <c r="Y87" s="40" t="n">
        <f aca="false">W87*12*$B$19/Assumptions!$C$18</f>
        <v>84453.8475017873</v>
      </c>
      <c r="Z87" s="40" t="n">
        <f aca="false">J87*(T87+Assumptions!$C$16)</f>
        <v>172549.71</v>
      </c>
      <c r="AA87" s="56" t="n">
        <f aca="false">IF(ISNUMBER(F87),F87,IF(H87&gt;=2000,4,3))</f>
        <v>3</v>
      </c>
      <c r="AB87" s="40" t="n">
        <f aca="false">IFERROR(INDEX($E$18:$H$25,MATCH(D87,$D$18:$D$25,0),1+IF(AA87&gt;=4,2,0)+IF(Q87="Y",1,0)),0)</f>
        <v>60000</v>
      </c>
      <c r="AC87" s="42" t="n">
        <f aca="false">IFERROR(AB87/X87,0)</f>
        <v>0.888059007594802</v>
      </c>
      <c r="AD87" s="57" t="str">
        <f aca="false">IF(ISNUMBER(SEARCH("Mobile",E87)),"EXCLUDED",IF(AB87&gt;=Y87,"PASS",IF(AB87&gt;=X87,"MARGINAL","FAIL")))</f>
        <v>FAIL</v>
      </c>
      <c r="AE87" s="35" t="s">
        <v>546</v>
      </c>
    </row>
    <row r="88" customFormat="false" ht="15" hidden="false" customHeight="false" outlineLevel="0" collapsed="false">
      <c r="A88" s="27" t="s">
        <v>658</v>
      </c>
      <c r="B88" s="27" t="s">
        <v>338</v>
      </c>
      <c r="C88" s="27" t="s">
        <v>85</v>
      </c>
      <c r="D88" s="27" t="s">
        <v>485</v>
      </c>
      <c r="E88" s="27" t="s">
        <v>506</v>
      </c>
      <c r="F88" s="27" t="n">
        <v>3</v>
      </c>
      <c r="G88" s="27" t="n">
        <v>2</v>
      </c>
      <c r="H88" s="52" t="n">
        <v>1489</v>
      </c>
      <c r="I88" s="13" t="n">
        <v>1981</v>
      </c>
      <c r="J88" s="19" t="n">
        <v>489000</v>
      </c>
      <c r="K88" s="13" t="n">
        <v>39</v>
      </c>
      <c r="L88" s="27" t="s">
        <v>659</v>
      </c>
      <c r="M88" s="19" t="n">
        <v>578000</v>
      </c>
      <c r="N88" s="19" t="n">
        <v>499457</v>
      </c>
      <c r="O88" s="27" t="s">
        <v>453</v>
      </c>
      <c r="P88" s="27" t="s">
        <v>154</v>
      </c>
      <c r="Q88" s="27" t="s">
        <v>145</v>
      </c>
      <c r="R88" s="27" t="s">
        <v>71</v>
      </c>
      <c r="S88" s="27" t="s">
        <v>508</v>
      </c>
      <c r="T88" s="28" t="n">
        <f aca="false">Assumptions!$C$15</f>
        <v>0.25</v>
      </c>
      <c r="U88" s="21" t="n">
        <f aca="false">J88*(1-T88)</f>
        <v>366750</v>
      </c>
      <c r="V88" s="29" t="n">
        <f aca="false">IF((1-T88)&gt;0.75,Assumptions!$C$11,IF((1-T88)&gt;0.7,Assumptions!$C$12,Assumptions!$C$13))</f>
        <v>0.0725</v>
      </c>
      <c r="W88" s="21" t="n">
        <f aca="false">PMT(V88/12,Assumptions!$C$14,-U88)+J88*INDEX(Assumptions!$C$28:$C$34,MATCH(C88,Assumptions!$B$28:$B$34,0))/12+(INDEX(Assumptions!$D$28:$D$34,MATCH(C88,Assumptions!$B$28:$B$34,0))+INDEX(Assumptions!$C$22:$C$25,MATCH(R88,Assumptions!$B$22:$B$25,0)))/12</f>
        <v>4152.96484043942</v>
      </c>
      <c r="X88" s="21" t="n">
        <f aca="false">W88*12*$B$18/Assumptions!$C$18</f>
        <v>62294.4726065912</v>
      </c>
      <c r="Y88" s="21" t="n">
        <f aca="false">W88*12*$B$19/Assumptions!$C$18</f>
        <v>77868.0907582391</v>
      </c>
      <c r="Z88" s="21" t="n">
        <f aca="false">J88*(T88+Assumptions!$C$16)</f>
        <v>141810</v>
      </c>
      <c r="AA88" s="53" t="n">
        <f aca="false">IF(ISNUMBER(F88),F88,IF(H88&gt;=2000,4,3))</f>
        <v>3</v>
      </c>
      <c r="AB88" s="21" t="n">
        <f aca="false">IFERROR(INDEX($E$18:$H$25,MATCH(D88,$D$18:$D$25,0),1+IF(AA88&gt;=4,2,0)+IF(Q88="Y",1,0)),0)</f>
        <v>55000</v>
      </c>
      <c r="AC88" s="30" t="n">
        <f aca="false">IFERROR(AB88/X88,0)</f>
        <v>0.882903373263017</v>
      </c>
      <c r="AD88" s="4" t="str">
        <f aca="false">IF(ISNUMBER(SEARCH("Mobile",E88)),"EXCLUDED",IF(AB88&gt;=Y88,"PASS",IF(AB88&gt;=X88,"MARGINAL","FAIL")))</f>
        <v>FAIL</v>
      </c>
      <c r="AE88" s="26"/>
    </row>
    <row r="89" customFormat="false" ht="15" hidden="false" customHeight="false" outlineLevel="0" collapsed="false">
      <c r="A89" s="36" t="s">
        <v>660</v>
      </c>
      <c r="B89" s="36" t="s">
        <v>661</v>
      </c>
      <c r="C89" s="36" t="s">
        <v>82</v>
      </c>
      <c r="D89" s="36" t="s">
        <v>482</v>
      </c>
      <c r="E89" s="36" t="s">
        <v>506</v>
      </c>
      <c r="F89" s="36" t="n">
        <v>3</v>
      </c>
      <c r="G89" s="36" t="n">
        <v>3</v>
      </c>
      <c r="H89" s="55" t="n">
        <v>1663</v>
      </c>
      <c r="I89" s="34" t="n">
        <v>1981</v>
      </c>
      <c r="J89" s="37" t="n">
        <v>449900</v>
      </c>
      <c r="K89" s="34" t="n">
        <v>100</v>
      </c>
      <c r="L89" s="36" t="s">
        <v>662</v>
      </c>
      <c r="M89" s="37" t="n">
        <v>210000</v>
      </c>
      <c r="N89" s="37" t="n">
        <v>176189</v>
      </c>
      <c r="O89" s="36" t="s">
        <v>453</v>
      </c>
      <c r="P89" s="36" t="s">
        <v>154</v>
      </c>
      <c r="Q89" s="36" t="s">
        <v>145</v>
      </c>
      <c r="R89" s="36" t="s">
        <v>69</v>
      </c>
      <c r="S89" s="36" t="s">
        <v>516</v>
      </c>
      <c r="T89" s="39" t="n">
        <f aca="false">Assumptions!$C$15</f>
        <v>0.25</v>
      </c>
      <c r="U89" s="40" t="n">
        <f aca="false">J89*(1-T89)</f>
        <v>337425</v>
      </c>
      <c r="V89" s="41" t="n">
        <f aca="false">IF((1-T89)&gt;0.75,Assumptions!$C$11,IF((1-T89)&gt;0.7,Assumptions!$C$12,Assumptions!$C$13))</f>
        <v>0.0725</v>
      </c>
      <c r="W89" s="40" t="n">
        <f aca="false">PMT(V89/12,Assumptions!$C$14,-U89)+J89*INDEX(Assumptions!$C$28:$C$34,MATCH(C89,Assumptions!$B$28:$B$34,0))/12+(INDEX(Assumptions!$D$28:$D$34,MATCH(C89,Assumptions!$B$28:$B$34,0))+INDEX(Assumptions!$C$22:$C$25,MATCH(R89,Assumptions!$B$22:$B$25,0)))/12</f>
        <v>3474.63747964627</v>
      </c>
      <c r="X89" s="40" t="n">
        <f aca="false">W89*12*$B$18/Assumptions!$C$18</f>
        <v>52119.5621946941</v>
      </c>
      <c r="Y89" s="40" t="n">
        <f aca="false">W89*12*$B$19/Assumptions!$C$18</f>
        <v>65149.4527433676</v>
      </c>
      <c r="Z89" s="40" t="n">
        <f aca="false">J89*(T89+Assumptions!$C$16)</f>
        <v>130471</v>
      </c>
      <c r="AA89" s="56" t="n">
        <f aca="false">IF(ISNUMBER(F89),F89,IF(H89&gt;=2000,4,3))</f>
        <v>3</v>
      </c>
      <c r="AB89" s="40" t="n">
        <f aca="false">IFERROR(INDEX($E$18:$H$25,MATCH(D89,$D$18:$D$25,0),1+IF(AA89&gt;=4,2,0)+IF(Q89="Y",1,0)),0)</f>
        <v>46000</v>
      </c>
      <c r="AC89" s="42" t="n">
        <f aca="false">IFERROR(AB89/X89,0)</f>
        <v>0.882586078297545</v>
      </c>
      <c r="AD89" s="57" t="str">
        <f aca="false">IF(ISNUMBER(SEARCH("Mobile",E89)),"EXCLUDED",IF(AB89&gt;=Y89,"PASS",IF(AB89&gt;=X89,"MARGINAL","FAIL")))</f>
        <v>FAIL</v>
      </c>
      <c r="AE89" s="35"/>
    </row>
    <row r="90" customFormat="false" ht="15" hidden="false" customHeight="false" outlineLevel="0" collapsed="false">
      <c r="A90" s="27" t="s">
        <v>663</v>
      </c>
      <c r="B90" s="27" t="s">
        <v>338</v>
      </c>
      <c r="C90" s="27" t="s">
        <v>85</v>
      </c>
      <c r="D90" s="27" t="s">
        <v>485</v>
      </c>
      <c r="E90" s="27" t="s">
        <v>506</v>
      </c>
      <c r="F90" s="27" t="n">
        <v>3</v>
      </c>
      <c r="G90" s="27" t="n">
        <v>2</v>
      </c>
      <c r="H90" s="52" t="n">
        <v>1899</v>
      </c>
      <c r="I90" s="13" t="n">
        <v>1976</v>
      </c>
      <c r="J90" s="19" t="n">
        <v>489900</v>
      </c>
      <c r="K90" s="13" t="n">
        <v>144</v>
      </c>
      <c r="L90" s="27" t="s">
        <v>664</v>
      </c>
      <c r="M90" s="19" t="n">
        <v>448000</v>
      </c>
      <c r="N90" s="19" t="n">
        <v>371709</v>
      </c>
      <c r="O90" s="27" t="s">
        <v>458</v>
      </c>
      <c r="P90" s="27" t="s">
        <v>154</v>
      </c>
      <c r="Q90" s="27" t="s">
        <v>145</v>
      </c>
      <c r="R90" s="27" t="s">
        <v>71</v>
      </c>
      <c r="S90" s="27" t="s">
        <v>508</v>
      </c>
      <c r="T90" s="28" t="n">
        <f aca="false">Assumptions!$C$15</f>
        <v>0.25</v>
      </c>
      <c r="U90" s="21" t="n">
        <f aca="false">J90*(1-T90)</f>
        <v>367425</v>
      </c>
      <c r="V90" s="29" t="n">
        <f aca="false">IF((1-T90)&gt;0.75,Assumptions!$C$11,IF((1-T90)&gt;0.7,Assumptions!$C$12,Assumptions!$C$13))</f>
        <v>0.0725</v>
      </c>
      <c r="W90" s="21" t="n">
        <f aca="false">PMT(V90/12,Assumptions!$C$14,-U90)+J90*INDEX(Assumptions!$C$28:$C$34,MATCH(C90,Assumptions!$B$28:$B$34,0))/12+(INDEX(Assumptions!$D$28:$D$34,MATCH(C90,Assumptions!$B$28:$B$34,0))+INDEX(Assumptions!$C$22:$C$25,MATCH(R90,Assumptions!$B$22:$B$25,0)))/12</f>
        <v>4158.8445303298</v>
      </c>
      <c r="X90" s="21" t="n">
        <f aca="false">W90*12*$B$18/Assumptions!$C$18</f>
        <v>62382.667954947</v>
      </c>
      <c r="Y90" s="21" t="n">
        <f aca="false">W90*12*$B$19/Assumptions!$C$18</f>
        <v>77978.3349436837</v>
      </c>
      <c r="Z90" s="21" t="n">
        <f aca="false">J90*(T90+Assumptions!$C$16)</f>
        <v>142071</v>
      </c>
      <c r="AA90" s="53" t="n">
        <f aca="false">IF(ISNUMBER(F90),F90,IF(H90&gt;=2000,4,3))</f>
        <v>3</v>
      </c>
      <c r="AB90" s="21" t="n">
        <f aca="false">IFERROR(INDEX($E$18:$H$25,MATCH(D90,$D$18:$D$25,0),1+IF(AA90&gt;=4,2,0)+IF(Q90="Y",1,0)),0)</f>
        <v>55000</v>
      </c>
      <c r="AC90" s="30" t="n">
        <f aca="false">IFERROR(AB90/X90,0)</f>
        <v>0.881655142414256</v>
      </c>
      <c r="AD90" s="4" t="str">
        <f aca="false">IF(ISNUMBER(SEARCH("Mobile",E90)),"EXCLUDED",IF(AB90&gt;=Y90,"PASS",IF(AB90&gt;=X90,"MARGINAL","FAIL")))</f>
        <v>FAIL</v>
      </c>
      <c r="AE90" s="26"/>
    </row>
    <row r="91" customFormat="false" ht="23.85" hidden="false" customHeight="false" outlineLevel="0" collapsed="false">
      <c r="A91" s="36" t="s">
        <v>665</v>
      </c>
      <c r="B91" s="36" t="s">
        <v>244</v>
      </c>
      <c r="C91" s="36" t="s">
        <v>18</v>
      </c>
      <c r="D91" s="36" t="s">
        <v>484</v>
      </c>
      <c r="E91" s="36" t="s">
        <v>506</v>
      </c>
      <c r="F91" s="36"/>
      <c r="G91" s="36" t="n">
        <v>2</v>
      </c>
      <c r="H91" s="55" t="n">
        <v>1648</v>
      </c>
      <c r="I91" s="34" t="n">
        <v>2020</v>
      </c>
      <c r="J91" s="37" t="n">
        <v>424900</v>
      </c>
      <c r="K91" s="34" t="n">
        <v>12</v>
      </c>
      <c r="L91" s="36" t="s">
        <v>666</v>
      </c>
      <c r="M91" s="37" t="n">
        <v>47500</v>
      </c>
      <c r="N91" s="37" t="n">
        <v>-11297376</v>
      </c>
      <c r="O91" s="36" t="s">
        <v>453</v>
      </c>
      <c r="P91" s="36" t="s">
        <v>154</v>
      </c>
      <c r="Q91" s="36" t="s">
        <v>154</v>
      </c>
      <c r="R91" s="36" t="s">
        <v>69</v>
      </c>
      <c r="S91" s="36" t="s">
        <v>520</v>
      </c>
      <c r="T91" s="39" t="n">
        <f aca="false">Assumptions!$C$15</f>
        <v>0.25</v>
      </c>
      <c r="U91" s="40" t="n">
        <f aca="false">J91*(1-T91)</f>
        <v>318675</v>
      </c>
      <c r="V91" s="41" t="n">
        <f aca="false">IF((1-T91)&gt;0.75,Assumptions!$C$11,IF((1-T91)&gt;0.7,Assumptions!$C$12,Assumptions!$C$13))</f>
        <v>0.0725</v>
      </c>
      <c r="W91" s="40" t="n">
        <f aca="false">PMT(V91/12,Assumptions!$C$14,-U91)+J91*INDEX(Assumptions!$C$28:$C$34,MATCH(C91,Assumptions!$B$28:$B$34,0))/12+(INDEX(Assumptions!$D$28:$D$34,MATCH(C91,Assumptions!$B$28:$B$34,0))+INDEX(Assumptions!$C$22:$C$25,MATCH(R91,Assumptions!$B$22:$B$25,0)))/12</f>
        <v>3407.12526046907</v>
      </c>
      <c r="X91" s="40" t="n">
        <f aca="false">W91*12*$B$18/Assumptions!$C$18</f>
        <v>51106.878907036</v>
      </c>
      <c r="Y91" s="40" t="n">
        <f aca="false">W91*12*$B$19/Assumptions!$C$18</f>
        <v>63883.598633795</v>
      </c>
      <c r="Z91" s="40" t="n">
        <f aca="false">J91*(T91+Assumptions!$C$16)</f>
        <v>123221</v>
      </c>
      <c r="AA91" s="56" t="n">
        <f aca="false">IF(ISNUMBER(F91),F91,IF(H91&gt;=2000,4,3))</f>
        <v>3</v>
      </c>
      <c r="AB91" s="40" t="n">
        <f aca="false">IFERROR(INDEX($E$18:$H$25,MATCH(D91,$D$18:$D$25,0),1+IF(AA91&gt;=4,2,0)+IF(Q91="Y",1,0)),0)</f>
        <v>45000</v>
      </c>
      <c r="AC91" s="42" t="n">
        <f aca="false">IFERROR(AB91/X91,0)</f>
        <v>0.880507692161274</v>
      </c>
      <c r="AD91" s="57" t="str">
        <f aca="false">IF(ISNUMBER(SEARCH("Mobile",E91)),"EXCLUDED",IF(AB91&gt;=Y91,"PASS",IF(AB91&gt;=X91,"MARGINAL","FAIL")))</f>
        <v>FAIL</v>
      </c>
      <c r="AE91" s="35" t="s">
        <v>546</v>
      </c>
    </row>
    <row r="92" customFormat="false" ht="23.85" hidden="false" customHeight="false" outlineLevel="0" collapsed="false">
      <c r="A92" s="27" t="s">
        <v>667</v>
      </c>
      <c r="B92" s="27" t="s">
        <v>629</v>
      </c>
      <c r="C92" s="27" t="s">
        <v>18</v>
      </c>
      <c r="D92" s="27" t="s">
        <v>484</v>
      </c>
      <c r="E92" s="27" t="s">
        <v>506</v>
      </c>
      <c r="F92" s="27"/>
      <c r="G92" s="27" t="n">
        <v>2</v>
      </c>
      <c r="H92" s="52" t="n">
        <v>1287</v>
      </c>
      <c r="I92" s="13" t="n">
        <v>1970</v>
      </c>
      <c r="J92" s="19" t="n">
        <v>429900</v>
      </c>
      <c r="K92" s="13" t="n">
        <v>12</v>
      </c>
      <c r="L92" s="27" t="s">
        <v>668</v>
      </c>
      <c r="M92" s="19" t="n">
        <v>73000</v>
      </c>
      <c r="N92" s="19" t="n">
        <v>343633</v>
      </c>
      <c r="O92" s="27" t="s">
        <v>515</v>
      </c>
      <c r="P92" s="27" t="s">
        <v>154</v>
      </c>
      <c r="Q92" s="27" t="s">
        <v>154</v>
      </c>
      <c r="R92" s="27" t="s">
        <v>69</v>
      </c>
      <c r="S92" s="27" t="s">
        <v>532</v>
      </c>
      <c r="T92" s="28" t="n">
        <f aca="false">Assumptions!$C$15</f>
        <v>0.25</v>
      </c>
      <c r="U92" s="21" t="n">
        <f aca="false">J92*(1-T92)</f>
        <v>322425</v>
      </c>
      <c r="V92" s="29" t="n">
        <f aca="false">IF((1-T92)&gt;0.75,Assumptions!$C$11,IF((1-T92)&gt;0.7,Assumptions!$C$12,Assumptions!$C$13))</f>
        <v>0.0725</v>
      </c>
      <c r="W92" s="21" t="n">
        <f aca="false">PMT(V92/12,Assumptions!$C$14,-U92)+J92*INDEX(Assumptions!$C$28:$C$34,MATCH(C92,Assumptions!$B$28:$B$34,0))/12+(INDEX(Assumptions!$D$28:$D$34,MATCH(C92,Assumptions!$B$28:$B$34,0))+INDEX(Assumptions!$C$22:$C$25,MATCH(R92,Assumptions!$B$22:$B$25,0)))/12</f>
        <v>3439.37353763784</v>
      </c>
      <c r="X92" s="21" t="n">
        <f aca="false">W92*12*$B$18/Assumptions!$C$18</f>
        <v>51590.6030645676</v>
      </c>
      <c r="Y92" s="21" t="n">
        <f aca="false">W92*12*$B$19/Assumptions!$C$18</f>
        <v>64488.2538307096</v>
      </c>
      <c r="Z92" s="21" t="n">
        <f aca="false">J92*(T92+Assumptions!$C$16)</f>
        <v>124671</v>
      </c>
      <c r="AA92" s="53" t="n">
        <f aca="false">IF(ISNUMBER(F92),F92,IF(H92&gt;=2000,4,3))</f>
        <v>3</v>
      </c>
      <c r="AB92" s="21" t="n">
        <f aca="false">IFERROR(INDEX($E$18:$H$25,MATCH(D92,$D$18:$D$25,0),1+IF(AA92&gt;=4,2,0)+IF(Q92="Y",1,0)),0)</f>
        <v>45000</v>
      </c>
      <c r="AC92" s="30" t="n">
        <f aca="false">IFERROR(AB92/X92,0)</f>
        <v>0.872251870048519</v>
      </c>
      <c r="AD92" s="4" t="str">
        <f aca="false">IF(ISNUMBER(SEARCH("Mobile",E92)),"EXCLUDED",IF(AB92&gt;=Y92,"PASS",IF(AB92&gt;=X92,"MARGINAL","FAIL")))</f>
        <v>FAIL</v>
      </c>
      <c r="AE92" s="26" t="s">
        <v>546</v>
      </c>
    </row>
    <row r="93" customFormat="false" ht="23.85" hidden="false" customHeight="false" outlineLevel="0" collapsed="false">
      <c r="A93" s="36" t="s">
        <v>669</v>
      </c>
      <c r="B93" s="36" t="s">
        <v>540</v>
      </c>
      <c r="C93" s="36" t="s">
        <v>18</v>
      </c>
      <c r="D93" s="36" t="s">
        <v>484</v>
      </c>
      <c r="E93" s="36" t="s">
        <v>506</v>
      </c>
      <c r="F93" s="36"/>
      <c r="G93" s="36" t="n">
        <v>2</v>
      </c>
      <c r="H93" s="55" t="n">
        <v>1440</v>
      </c>
      <c r="I93" s="34" t="n">
        <v>1959</v>
      </c>
      <c r="J93" s="37" t="n">
        <v>429900</v>
      </c>
      <c r="K93" s="34" t="n">
        <v>60</v>
      </c>
      <c r="L93" s="36" t="s">
        <v>670</v>
      </c>
      <c r="M93" s="37" t="n">
        <v>249900</v>
      </c>
      <c r="N93" s="37" t="n">
        <v>181349</v>
      </c>
      <c r="O93" s="36" t="s">
        <v>448</v>
      </c>
      <c r="P93" s="36" t="s">
        <v>154</v>
      </c>
      <c r="Q93" s="36" t="s">
        <v>154</v>
      </c>
      <c r="R93" s="36" t="s">
        <v>69</v>
      </c>
      <c r="S93" s="36" t="s">
        <v>532</v>
      </c>
      <c r="T93" s="39" t="n">
        <f aca="false">Assumptions!$C$15</f>
        <v>0.25</v>
      </c>
      <c r="U93" s="40" t="n">
        <f aca="false">J93*(1-T93)</f>
        <v>322425</v>
      </c>
      <c r="V93" s="41" t="n">
        <f aca="false">IF((1-T93)&gt;0.75,Assumptions!$C$11,IF((1-T93)&gt;0.7,Assumptions!$C$12,Assumptions!$C$13))</f>
        <v>0.0725</v>
      </c>
      <c r="W93" s="40" t="n">
        <f aca="false">PMT(V93/12,Assumptions!$C$14,-U93)+J93*INDEX(Assumptions!$C$28:$C$34,MATCH(C93,Assumptions!$B$28:$B$34,0))/12+(INDEX(Assumptions!$D$28:$D$34,MATCH(C93,Assumptions!$B$28:$B$34,0))+INDEX(Assumptions!$C$22:$C$25,MATCH(R93,Assumptions!$B$22:$B$25,0)))/12</f>
        <v>3439.37353763784</v>
      </c>
      <c r="X93" s="40" t="n">
        <f aca="false">W93*12*$B$18/Assumptions!$C$18</f>
        <v>51590.6030645676</v>
      </c>
      <c r="Y93" s="40" t="n">
        <f aca="false">W93*12*$B$19/Assumptions!$C$18</f>
        <v>64488.2538307096</v>
      </c>
      <c r="Z93" s="40" t="n">
        <f aca="false">J93*(T93+Assumptions!$C$16)</f>
        <v>124671</v>
      </c>
      <c r="AA93" s="56" t="n">
        <f aca="false">IF(ISNUMBER(F93),F93,IF(H93&gt;=2000,4,3))</f>
        <v>3</v>
      </c>
      <c r="AB93" s="40" t="n">
        <f aca="false">IFERROR(INDEX($E$18:$H$25,MATCH(D93,$D$18:$D$25,0),1+IF(AA93&gt;=4,2,0)+IF(Q93="Y",1,0)),0)</f>
        <v>45000</v>
      </c>
      <c r="AC93" s="42" t="n">
        <f aca="false">IFERROR(AB93/X93,0)</f>
        <v>0.872251870048519</v>
      </c>
      <c r="AD93" s="57" t="str">
        <f aca="false">IF(ISNUMBER(SEARCH("Mobile",E93)),"EXCLUDED",IF(AB93&gt;=Y93,"PASS",IF(AB93&gt;=X93,"MARGINAL","FAIL")))</f>
        <v>FAIL</v>
      </c>
      <c r="AE93" s="35" t="s">
        <v>546</v>
      </c>
    </row>
    <row r="94" customFormat="false" ht="23.85" hidden="false" customHeight="false" outlineLevel="0" collapsed="false">
      <c r="A94" s="27" t="s">
        <v>671</v>
      </c>
      <c r="B94" s="27" t="s">
        <v>544</v>
      </c>
      <c r="C94" s="27" t="s">
        <v>18</v>
      </c>
      <c r="D94" s="27" t="s">
        <v>484</v>
      </c>
      <c r="E94" s="27" t="s">
        <v>506</v>
      </c>
      <c r="F94" s="27"/>
      <c r="G94" s="27" t="n">
        <v>2</v>
      </c>
      <c r="H94" s="52" t="n">
        <v>1450</v>
      </c>
      <c r="I94" s="13" t="n">
        <v>1984</v>
      </c>
      <c r="J94" s="19" t="n">
        <v>430000</v>
      </c>
      <c r="K94" s="13" t="n">
        <v>3</v>
      </c>
      <c r="L94" s="27" t="s">
        <v>672</v>
      </c>
      <c r="M94" s="19" t="n">
        <v>179000</v>
      </c>
      <c r="N94" s="19" t="n">
        <v>256497</v>
      </c>
      <c r="O94" s="27" t="s">
        <v>463</v>
      </c>
      <c r="P94" s="27" t="s">
        <v>154</v>
      </c>
      <c r="Q94" s="27" t="s">
        <v>154</v>
      </c>
      <c r="R94" s="27" t="s">
        <v>69</v>
      </c>
      <c r="S94" s="27" t="s">
        <v>520</v>
      </c>
      <c r="T94" s="28" t="n">
        <f aca="false">Assumptions!$C$15</f>
        <v>0.25</v>
      </c>
      <c r="U94" s="21" t="n">
        <f aca="false">J94*(1-T94)</f>
        <v>322500</v>
      </c>
      <c r="V94" s="29" t="n">
        <f aca="false">IF((1-T94)&gt;0.75,Assumptions!$C$11,IF((1-T94)&gt;0.7,Assumptions!$C$12,Assumptions!$C$13))</f>
        <v>0.0725</v>
      </c>
      <c r="W94" s="21" t="n">
        <f aca="false">PMT(V94/12,Assumptions!$C$14,-U94)+J94*INDEX(Assumptions!$C$28:$C$34,MATCH(C94,Assumptions!$B$28:$B$34,0))/12+(INDEX(Assumptions!$D$28:$D$34,MATCH(C94,Assumptions!$B$28:$B$34,0))+INDEX(Assumptions!$C$22:$C$25,MATCH(R94,Assumptions!$B$22:$B$25,0)))/12</f>
        <v>3440.01850318122</v>
      </c>
      <c r="X94" s="21" t="n">
        <f aca="false">W94*12*$B$18/Assumptions!$C$18</f>
        <v>51600.2775477183</v>
      </c>
      <c r="Y94" s="21" t="n">
        <f aca="false">W94*12*$B$19/Assumptions!$C$18</f>
        <v>64500.3469346479</v>
      </c>
      <c r="Z94" s="21" t="n">
        <f aca="false">J94*(T94+Assumptions!$C$16)</f>
        <v>124700</v>
      </c>
      <c r="AA94" s="53" t="n">
        <f aca="false">IF(ISNUMBER(F94),F94,IF(H94&gt;=2000,4,3))</f>
        <v>3</v>
      </c>
      <c r="AB94" s="21" t="n">
        <f aca="false">IFERROR(INDEX($E$18:$H$25,MATCH(D94,$D$18:$D$25,0),1+IF(AA94&gt;=4,2,0)+IF(Q94="Y",1,0)),0)</f>
        <v>45000</v>
      </c>
      <c r="AC94" s="30" t="n">
        <f aca="false">IFERROR(AB94/X94,0)</f>
        <v>0.872088332439403</v>
      </c>
      <c r="AD94" s="4" t="str">
        <f aca="false">IF(ISNUMBER(SEARCH("Mobile",E94)),"EXCLUDED",IF(AB94&gt;=Y94,"PASS",IF(AB94&gt;=X94,"MARGINAL","FAIL")))</f>
        <v>FAIL</v>
      </c>
      <c r="AE94" s="26" t="s">
        <v>546</v>
      </c>
    </row>
    <row r="95" customFormat="false" ht="15" hidden="false" customHeight="false" outlineLevel="0" collapsed="false">
      <c r="A95" s="36" t="s">
        <v>673</v>
      </c>
      <c r="B95" s="36" t="s">
        <v>639</v>
      </c>
      <c r="C95" s="36" t="s">
        <v>82</v>
      </c>
      <c r="D95" s="36" t="s">
        <v>482</v>
      </c>
      <c r="E95" s="36" t="s">
        <v>506</v>
      </c>
      <c r="F95" s="36" t="n">
        <v>3</v>
      </c>
      <c r="G95" s="36" t="n">
        <v>2</v>
      </c>
      <c r="H95" s="55" t="n">
        <v>1821</v>
      </c>
      <c r="I95" s="34" t="n">
        <v>1986</v>
      </c>
      <c r="J95" s="37" t="n">
        <v>459000</v>
      </c>
      <c r="K95" s="34" t="n">
        <v>9</v>
      </c>
      <c r="L95" s="36" t="s">
        <v>674</v>
      </c>
      <c r="M95" s="37" t="n">
        <v>350000</v>
      </c>
      <c r="N95" s="37" t="n">
        <v>136224</v>
      </c>
      <c r="O95" s="36" t="s">
        <v>453</v>
      </c>
      <c r="P95" s="36" t="s">
        <v>154</v>
      </c>
      <c r="Q95" s="36" t="s">
        <v>145</v>
      </c>
      <c r="R95" s="36" t="s">
        <v>69</v>
      </c>
      <c r="S95" s="36" t="s">
        <v>516</v>
      </c>
      <c r="T95" s="39" t="n">
        <f aca="false">Assumptions!$C$15</f>
        <v>0.25</v>
      </c>
      <c r="U95" s="40" t="n">
        <f aca="false">J95*(1-T95)</f>
        <v>344250</v>
      </c>
      <c r="V95" s="41" t="n">
        <f aca="false">IF((1-T95)&gt;0.75,Assumptions!$C$11,IF((1-T95)&gt;0.7,Assumptions!$C$12,Assumptions!$C$13))</f>
        <v>0.0725</v>
      </c>
      <c r="W95" s="40" t="n">
        <f aca="false">PMT(V95/12,Assumptions!$C$14,-U95)+J95*INDEX(Assumptions!$C$28:$C$34,MATCH(C95,Assumptions!$B$28:$B$34,0))/12+(INDEX(Assumptions!$D$28:$D$34,MATCH(C95,Assumptions!$B$28:$B$34,0))+INDEX(Assumptions!$C$22:$C$25,MATCH(R95,Assumptions!$B$22:$B$25,0)))/12</f>
        <v>3531.43351076011</v>
      </c>
      <c r="X95" s="40" t="n">
        <f aca="false">W95*12*$B$18/Assumptions!$C$18</f>
        <v>52971.5026614016</v>
      </c>
      <c r="Y95" s="40" t="n">
        <f aca="false">W95*12*$B$19/Assumptions!$C$18</f>
        <v>66214.378326752</v>
      </c>
      <c r="Z95" s="40" t="n">
        <f aca="false">J95*(T95+Assumptions!$C$16)</f>
        <v>133110</v>
      </c>
      <c r="AA95" s="56" t="n">
        <f aca="false">IF(ISNUMBER(F95),F95,IF(H95&gt;=2000,4,3))</f>
        <v>3</v>
      </c>
      <c r="AB95" s="40" t="n">
        <f aca="false">IFERROR(INDEX($E$18:$H$25,MATCH(D95,$D$18:$D$25,0),1+IF(AA95&gt;=4,2,0)+IF(Q95="Y",1,0)),0)</f>
        <v>46000</v>
      </c>
      <c r="AC95" s="42" t="n">
        <f aca="false">IFERROR(AB95/X95,0)</f>
        <v>0.868391449909132</v>
      </c>
      <c r="AD95" s="57" t="str">
        <f aca="false">IF(ISNUMBER(SEARCH("Mobile",E95)),"EXCLUDED",IF(AB95&gt;=Y95,"PASS",IF(AB95&gt;=X95,"MARGINAL","FAIL")))</f>
        <v>FAIL</v>
      </c>
      <c r="AE95" s="35"/>
    </row>
    <row r="96" customFormat="false" ht="15" hidden="false" customHeight="false" outlineLevel="0" collapsed="false">
      <c r="A96" s="27" t="s">
        <v>675</v>
      </c>
      <c r="B96" s="27" t="s">
        <v>676</v>
      </c>
      <c r="C96" s="27" t="s">
        <v>82</v>
      </c>
      <c r="D96" s="27" t="s">
        <v>482</v>
      </c>
      <c r="E96" s="27" t="s">
        <v>506</v>
      </c>
      <c r="F96" s="27" t="n">
        <v>3</v>
      </c>
      <c r="G96" s="27" t="n">
        <v>2</v>
      </c>
      <c r="H96" s="52" t="n">
        <v>1448</v>
      </c>
      <c r="I96" s="13" t="n">
        <v>1979</v>
      </c>
      <c r="J96" s="19" t="n">
        <v>460000</v>
      </c>
      <c r="K96" s="13" t="n">
        <v>24</v>
      </c>
      <c r="L96" s="27" t="s">
        <v>677</v>
      </c>
      <c r="M96" s="19" t="n">
        <v>425000</v>
      </c>
      <c r="N96" s="19" t="n">
        <v>370730</v>
      </c>
      <c r="O96" s="27" t="s">
        <v>453</v>
      </c>
      <c r="P96" s="27" t="s">
        <v>154</v>
      </c>
      <c r="Q96" s="27" t="s">
        <v>145</v>
      </c>
      <c r="R96" s="27" t="s">
        <v>69</v>
      </c>
      <c r="S96" s="27" t="s">
        <v>633</v>
      </c>
      <c r="T96" s="28" t="n">
        <f aca="false">Assumptions!$C$15</f>
        <v>0.25</v>
      </c>
      <c r="U96" s="21" t="n">
        <f aca="false">J96*(1-T96)</f>
        <v>345000</v>
      </c>
      <c r="V96" s="29" t="n">
        <f aca="false">IF((1-T96)&gt;0.75,Assumptions!$C$11,IF((1-T96)&gt;0.7,Assumptions!$C$12,Assumptions!$C$13))</f>
        <v>0.0725</v>
      </c>
      <c r="W96" s="21" t="n">
        <f aca="false">PMT(V96/12,Assumptions!$C$14,-U96)+J96*INDEX(Assumptions!$C$28:$C$34,MATCH(C96,Assumptions!$B$28:$B$34,0))/12+(INDEX(Assumptions!$D$28:$D$34,MATCH(C96,Assumptions!$B$28:$B$34,0))+INDEX(Assumptions!$C$22:$C$25,MATCH(R96,Assumptions!$B$22:$B$25,0)))/12</f>
        <v>3537.67483286053</v>
      </c>
      <c r="X96" s="21" t="n">
        <f aca="false">W96*12*$B$18/Assumptions!$C$18</f>
        <v>53065.1224929079</v>
      </c>
      <c r="Y96" s="21" t="n">
        <f aca="false">W96*12*$B$19/Assumptions!$C$18</f>
        <v>66331.4031161349</v>
      </c>
      <c r="Z96" s="21" t="n">
        <f aca="false">J96*(T96+Assumptions!$C$16)</f>
        <v>133400</v>
      </c>
      <c r="AA96" s="53" t="n">
        <f aca="false">IF(ISNUMBER(F96),F96,IF(H96&gt;=2000,4,3))</f>
        <v>3</v>
      </c>
      <c r="AB96" s="21" t="n">
        <f aca="false">IFERROR(INDEX($E$18:$H$25,MATCH(D96,$D$18:$D$25,0),1+IF(AA96&gt;=4,2,0)+IF(Q96="Y",1,0)),0)</f>
        <v>46000</v>
      </c>
      <c r="AC96" s="30" t="n">
        <f aca="false">IFERROR(AB96/X96,0)</f>
        <v>0.866859395380607</v>
      </c>
      <c r="AD96" s="4" t="str">
        <f aca="false">IF(ISNUMBER(SEARCH("Mobile",E96)),"EXCLUDED",IF(AB96&gt;=Y96,"PASS",IF(AB96&gt;=X96,"MARGINAL","FAIL")))</f>
        <v>FAIL</v>
      </c>
      <c r="AE96" s="26"/>
    </row>
    <row r="97" customFormat="false" ht="15" hidden="false" customHeight="false" outlineLevel="0" collapsed="false">
      <c r="A97" s="36" t="s">
        <v>678</v>
      </c>
      <c r="B97" s="36" t="s">
        <v>338</v>
      </c>
      <c r="C97" s="36" t="s">
        <v>85</v>
      </c>
      <c r="D97" s="36" t="s">
        <v>485</v>
      </c>
      <c r="E97" s="36" t="s">
        <v>506</v>
      </c>
      <c r="F97" s="36" t="n">
        <v>3</v>
      </c>
      <c r="G97" s="36" t="n">
        <v>2</v>
      </c>
      <c r="H97" s="55" t="n">
        <v>1515</v>
      </c>
      <c r="I97" s="34" t="n">
        <v>1981</v>
      </c>
      <c r="J97" s="37" t="n">
        <v>550000</v>
      </c>
      <c r="K97" s="34" t="n">
        <v>184</v>
      </c>
      <c r="L97" s="36" t="s">
        <v>679</v>
      </c>
      <c r="M97" s="37" t="n">
        <v>117000</v>
      </c>
      <c r="N97" s="37" t="n">
        <v>452744</v>
      </c>
      <c r="O97" s="36" t="s">
        <v>458</v>
      </c>
      <c r="P97" s="36" t="s">
        <v>154</v>
      </c>
      <c r="Q97" s="36" t="s">
        <v>145</v>
      </c>
      <c r="R97" s="36" t="s">
        <v>69</v>
      </c>
      <c r="S97" s="36" t="s">
        <v>508</v>
      </c>
      <c r="T97" s="39" t="n">
        <f aca="false">Assumptions!$C$15</f>
        <v>0.25</v>
      </c>
      <c r="U97" s="40" t="n">
        <f aca="false">J97*(1-T97)</f>
        <v>412500</v>
      </c>
      <c r="V97" s="41" t="n">
        <f aca="false">IF((1-T97)&gt;0.75,Assumptions!$C$11,IF((1-T97)&gt;0.7,Assumptions!$C$12,Assumptions!$C$13))</f>
        <v>0.0725</v>
      </c>
      <c r="W97" s="40" t="n">
        <f aca="false">PMT(V97/12,Assumptions!$C$14,-U97)+J97*INDEX(Assumptions!$C$28:$C$34,MATCH(C97,Assumptions!$B$28:$B$34,0))/12+(INDEX(Assumptions!$D$28:$D$34,MATCH(C97,Assumptions!$B$28:$B$34,0))+INDEX(Assumptions!$C$22:$C$25,MATCH(R97,Assumptions!$B$22:$B$25,0)))/12</f>
        <v>4259.81048856513</v>
      </c>
      <c r="X97" s="40" t="n">
        <f aca="false">W97*12*$B$18/Assumptions!$C$18</f>
        <v>63897.1573284769</v>
      </c>
      <c r="Y97" s="40" t="n">
        <f aca="false">W97*12*$B$19/Assumptions!$C$18</f>
        <v>79871.4466605961</v>
      </c>
      <c r="Z97" s="40" t="n">
        <f aca="false">J97*(T97+Assumptions!$C$16)</f>
        <v>159500</v>
      </c>
      <c r="AA97" s="56" t="n">
        <f aca="false">IF(ISNUMBER(F97),F97,IF(H97&gt;=2000,4,3))</f>
        <v>3</v>
      </c>
      <c r="AB97" s="40" t="n">
        <f aca="false">IFERROR(INDEX($E$18:$H$25,MATCH(D97,$D$18:$D$25,0),1+IF(AA97&gt;=4,2,0)+IF(Q97="Y",1,0)),0)</f>
        <v>55000</v>
      </c>
      <c r="AC97" s="42" t="n">
        <f aca="false">IFERROR(AB97/X97,0)</f>
        <v>0.860758166709371</v>
      </c>
      <c r="AD97" s="57" t="str">
        <f aca="false">IF(ISNUMBER(SEARCH("Mobile",E97)),"EXCLUDED",IF(AB97&gt;=Y97,"PASS",IF(AB97&gt;=X97,"MARGINAL","FAIL")))</f>
        <v>FAIL</v>
      </c>
      <c r="AE97" s="35"/>
    </row>
    <row r="98" customFormat="false" ht="23.85" hidden="false" customHeight="false" outlineLevel="0" collapsed="false">
      <c r="A98" s="27" t="s">
        <v>680</v>
      </c>
      <c r="B98" s="27" t="s">
        <v>544</v>
      </c>
      <c r="C98" s="27" t="s">
        <v>18</v>
      </c>
      <c r="D98" s="27" t="s">
        <v>484</v>
      </c>
      <c r="E98" s="27" t="s">
        <v>506</v>
      </c>
      <c r="F98" s="27"/>
      <c r="G98" s="27" t="n">
        <v>2</v>
      </c>
      <c r="H98" s="52" t="n">
        <v>1320</v>
      </c>
      <c r="I98" s="13" t="n">
        <v>1976</v>
      </c>
      <c r="J98" s="19" t="n">
        <v>439000</v>
      </c>
      <c r="K98" s="13" t="n">
        <v>89</v>
      </c>
      <c r="L98" s="27" t="s">
        <v>681</v>
      </c>
      <c r="M98" s="19" t="n">
        <v>135000</v>
      </c>
      <c r="N98" s="19" t="n">
        <v>431598</v>
      </c>
      <c r="O98" s="27" t="s">
        <v>453</v>
      </c>
      <c r="P98" s="27" t="s">
        <v>154</v>
      </c>
      <c r="Q98" s="27" t="s">
        <v>154</v>
      </c>
      <c r="R98" s="27" t="s">
        <v>69</v>
      </c>
      <c r="S98" s="27" t="s">
        <v>520</v>
      </c>
      <c r="T98" s="28" t="n">
        <f aca="false">Assumptions!$C$15</f>
        <v>0.25</v>
      </c>
      <c r="U98" s="21" t="n">
        <f aca="false">J98*(1-T98)</f>
        <v>329250</v>
      </c>
      <c r="V98" s="29" t="n">
        <f aca="false">IF((1-T98)&gt;0.75,Assumptions!$C$11,IF((1-T98)&gt;0.7,Assumptions!$C$12,Assumptions!$C$13))</f>
        <v>0.0725</v>
      </c>
      <c r="W98" s="21" t="n">
        <f aca="false">PMT(V98/12,Assumptions!$C$14,-U98)+J98*INDEX(Assumptions!$C$28:$C$34,MATCH(C98,Assumptions!$B$28:$B$34,0))/12+(INDEX(Assumptions!$D$28:$D$34,MATCH(C98,Assumptions!$B$28:$B$34,0))+INDEX(Assumptions!$C$22:$C$25,MATCH(R98,Assumptions!$B$22:$B$25,0)))/12</f>
        <v>3498.06540208501</v>
      </c>
      <c r="X98" s="21" t="n">
        <f aca="false">W98*12*$B$18/Assumptions!$C$18</f>
        <v>52470.9810312752</v>
      </c>
      <c r="Y98" s="21" t="n">
        <f aca="false">W98*12*$B$19/Assumptions!$C$18</f>
        <v>65588.726289094</v>
      </c>
      <c r="Z98" s="21" t="n">
        <f aca="false">J98*(T98+Assumptions!$C$16)</f>
        <v>127310</v>
      </c>
      <c r="AA98" s="53" t="n">
        <f aca="false">IF(ISNUMBER(F98),F98,IF(H98&gt;=2000,4,3))</f>
        <v>3</v>
      </c>
      <c r="AB98" s="21" t="n">
        <f aca="false">IFERROR(INDEX($E$18:$H$25,MATCH(D98,$D$18:$D$25,0),1+IF(AA98&gt;=4,2,0)+IF(Q98="Y",1,0)),0)</f>
        <v>45000</v>
      </c>
      <c r="AC98" s="30" t="n">
        <f aca="false">IFERROR(AB98/X98,0)</f>
        <v>0.857616898246631</v>
      </c>
      <c r="AD98" s="4" t="str">
        <f aca="false">IF(ISNUMBER(SEARCH("Mobile",E98)),"EXCLUDED",IF(AB98&gt;=Y98,"PASS",IF(AB98&gt;=X98,"MARGINAL","FAIL")))</f>
        <v>FAIL</v>
      </c>
      <c r="AE98" s="26" t="s">
        <v>546</v>
      </c>
    </row>
    <row r="99" customFormat="false" ht="23.85" hidden="false" customHeight="false" outlineLevel="0" collapsed="false">
      <c r="A99" s="36" t="s">
        <v>682</v>
      </c>
      <c r="B99" s="36" t="s">
        <v>683</v>
      </c>
      <c r="C99" s="36" t="s">
        <v>18</v>
      </c>
      <c r="D99" s="36" t="s">
        <v>484</v>
      </c>
      <c r="E99" s="36" t="s">
        <v>506</v>
      </c>
      <c r="F99" s="36"/>
      <c r="G99" s="36" t="n">
        <v>2</v>
      </c>
      <c r="H99" s="55" t="n">
        <v>1268</v>
      </c>
      <c r="I99" s="34" t="n">
        <v>2024</v>
      </c>
      <c r="J99" s="37" t="n">
        <v>394000</v>
      </c>
      <c r="K99" s="34" t="n">
        <v>135</v>
      </c>
      <c r="L99" s="36" t="s">
        <v>684</v>
      </c>
      <c r="M99" s="37" t="n">
        <v>81500</v>
      </c>
      <c r="N99" s="37" t="n">
        <v>62783</v>
      </c>
      <c r="O99" s="36" t="s">
        <v>453</v>
      </c>
      <c r="P99" s="36" t="s">
        <v>154</v>
      </c>
      <c r="Q99" s="36" t="s">
        <v>154</v>
      </c>
      <c r="R99" s="36" t="s">
        <v>71</v>
      </c>
      <c r="S99" s="36" t="s">
        <v>532</v>
      </c>
      <c r="T99" s="39" t="n">
        <f aca="false">Assumptions!$C$15</f>
        <v>0.25</v>
      </c>
      <c r="U99" s="40" t="n">
        <f aca="false">J99*(1-T99)</f>
        <v>295500</v>
      </c>
      <c r="V99" s="41" t="n">
        <f aca="false">IF((1-T99)&gt;0.75,Assumptions!$C$11,IF((1-T99)&gt;0.7,Assumptions!$C$12,Assumptions!$C$13))</f>
        <v>0.0725</v>
      </c>
      <c r="W99" s="40" t="n">
        <f aca="false">PMT(V99/12,Assumptions!$C$14,-U99)+J99*INDEX(Assumptions!$C$28:$C$34,MATCH(C99,Assumptions!$B$28:$B$34,0))/12+(INDEX(Assumptions!$D$28:$D$34,MATCH(C99,Assumptions!$B$28:$B$34,0))+INDEX(Assumptions!$C$22:$C$25,MATCH(R99,Assumptions!$B$22:$B$25,0)))/12</f>
        <v>3499.49757423271</v>
      </c>
      <c r="X99" s="40" t="n">
        <f aca="false">W99*12*$B$18/Assumptions!$C$18</f>
        <v>52492.4636134907</v>
      </c>
      <c r="Y99" s="40" t="n">
        <f aca="false">W99*12*$B$19/Assumptions!$C$18</f>
        <v>65615.5795168634</v>
      </c>
      <c r="Z99" s="40" t="n">
        <f aca="false">J99*(T99+Assumptions!$C$16)</f>
        <v>114260</v>
      </c>
      <c r="AA99" s="56" t="n">
        <f aca="false">IF(ISNUMBER(F99),F99,IF(H99&gt;=2000,4,3))</f>
        <v>3</v>
      </c>
      <c r="AB99" s="40" t="n">
        <f aca="false">IFERROR(INDEX($E$18:$H$25,MATCH(D99,$D$18:$D$25,0),1+IF(AA99&gt;=4,2,0)+IF(Q99="Y",1,0)),0)</f>
        <v>45000</v>
      </c>
      <c r="AC99" s="42" t="n">
        <f aca="false">IFERROR(AB99/X99,0)</f>
        <v>0.857265917853299</v>
      </c>
      <c r="AD99" s="57" t="str">
        <f aca="false">IF(ISNUMBER(SEARCH("Mobile",E99)),"EXCLUDED",IF(AB99&gt;=Y99,"PASS",IF(AB99&gt;=X99,"MARGINAL","FAIL")))</f>
        <v>FAIL</v>
      </c>
      <c r="AE99" s="35" t="s">
        <v>546</v>
      </c>
    </row>
    <row r="100" customFormat="false" ht="23.85" hidden="false" customHeight="false" outlineLevel="0" collapsed="false">
      <c r="A100" s="27" t="s">
        <v>685</v>
      </c>
      <c r="B100" s="27" t="s">
        <v>310</v>
      </c>
      <c r="C100" s="27" t="s">
        <v>18</v>
      </c>
      <c r="D100" s="27" t="s">
        <v>484</v>
      </c>
      <c r="E100" s="27" t="s">
        <v>506</v>
      </c>
      <c r="F100" s="27"/>
      <c r="G100" s="27" t="n">
        <v>2.5</v>
      </c>
      <c r="H100" s="52" t="n">
        <v>2161</v>
      </c>
      <c r="I100" s="13" t="n">
        <v>1985</v>
      </c>
      <c r="J100" s="19" t="n">
        <v>525000</v>
      </c>
      <c r="K100" s="13" t="n">
        <v>83</v>
      </c>
      <c r="L100" s="27" t="s">
        <v>686</v>
      </c>
      <c r="M100" s="19" t="n">
        <v>100</v>
      </c>
      <c r="N100" s="19" t="n">
        <v>572236</v>
      </c>
      <c r="O100" s="27" t="s">
        <v>453</v>
      </c>
      <c r="P100" s="27" t="s">
        <v>154</v>
      </c>
      <c r="Q100" s="27" t="s">
        <v>154</v>
      </c>
      <c r="R100" s="27" t="s">
        <v>69</v>
      </c>
      <c r="S100" s="27" t="s">
        <v>520</v>
      </c>
      <c r="T100" s="28" t="n">
        <f aca="false">Assumptions!$C$15</f>
        <v>0.25</v>
      </c>
      <c r="U100" s="21" t="n">
        <f aca="false">J100*(1-T100)</f>
        <v>393750</v>
      </c>
      <c r="V100" s="29" t="n">
        <f aca="false">IF((1-T100)&gt;0.75,Assumptions!$C$11,IF((1-T100)&gt;0.7,Assumptions!$C$12,Assumptions!$C$13))</f>
        <v>0.0725</v>
      </c>
      <c r="W100" s="21" t="n">
        <f aca="false">PMT(V100/12,Assumptions!$C$14,-U100)+J100*INDEX(Assumptions!$C$28:$C$34,MATCH(C100,Assumptions!$B$28:$B$34,0))/12+(INDEX(Assumptions!$D$28:$D$34,MATCH(C100,Assumptions!$B$28:$B$34,0))+INDEX(Assumptions!$C$22:$C$25,MATCH(R100,Assumptions!$B$22:$B$25,0)))/12</f>
        <v>4052.73576938792</v>
      </c>
      <c r="X100" s="21" t="n">
        <f aca="false">W100*12*$B$18/Assumptions!$C$18</f>
        <v>60791.0365408188</v>
      </c>
      <c r="Y100" s="21" t="n">
        <f aca="false">W100*12*$B$19/Assumptions!$C$18</f>
        <v>75988.7956760235</v>
      </c>
      <c r="Z100" s="21" t="n">
        <f aca="false">J100*(T100+Assumptions!$C$16)</f>
        <v>152250</v>
      </c>
      <c r="AA100" s="53" t="n">
        <f aca="false">IF(ISNUMBER(F100),F100,IF(H100&gt;=2000,4,3))</f>
        <v>4</v>
      </c>
      <c r="AB100" s="21" t="n">
        <f aca="false">IFERROR(INDEX($E$18:$H$25,MATCH(D100,$D$18:$D$25,0),1+IF(AA100&gt;=4,2,0)+IF(Q100="Y",1,0)),0)</f>
        <v>52000</v>
      </c>
      <c r="AC100" s="30" t="n">
        <f aca="false">IFERROR(AB100/X100,0)</f>
        <v>0.855389263926829</v>
      </c>
      <c r="AD100" s="4" t="str">
        <f aca="false">IF(ISNUMBER(SEARCH("Mobile",E100)),"EXCLUDED",IF(AB100&gt;=Y100,"PASS",IF(AB100&gt;=X100,"MARGINAL","FAIL")))</f>
        <v>FAIL</v>
      </c>
      <c r="AE100" s="26" t="s">
        <v>546</v>
      </c>
    </row>
    <row r="101" customFormat="false" ht="15" hidden="false" customHeight="false" outlineLevel="0" collapsed="false">
      <c r="A101" s="36" t="s">
        <v>687</v>
      </c>
      <c r="B101" s="36" t="s">
        <v>338</v>
      </c>
      <c r="C101" s="36" t="s">
        <v>85</v>
      </c>
      <c r="D101" s="36" t="s">
        <v>485</v>
      </c>
      <c r="E101" s="36" t="s">
        <v>506</v>
      </c>
      <c r="F101" s="36" t="n">
        <v>3</v>
      </c>
      <c r="G101" s="36" t="n">
        <v>2</v>
      </c>
      <c r="H101" s="55" t="n">
        <v>1370</v>
      </c>
      <c r="I101" s="34" t="n">
        <v>1972</v>
      </c>
      <c r="J101" s="37" t="n">
        <v>519900</v>
      </c>
      <c r="K101" s="34" t="n">
        <v>185</v>
      </c>
      <c r="L101" s="36" t="s">
        <v>688</v>
      </c>
      <c r="M101" s="37" t="n">
        <v>475000</v>
      </c>
      <c r="N101" s="37" t="n">
        <v>582390</v>
      </c>
      <c r="O101" s="36" t="s">
        <v>453</v>
      </c>
      <c r="P101" s="36" t="s">
        <v>154</v>
      </c>
      <c r="Q101" s="36" t="s">
        <v>145</v>
      </c>
      <c r="R101" s="36" t="s">
        <v>71</v>
      </c>
      <c r="S101" s="36" t="s">
        <v>508</v>
      </c>
      <c r="T101" s="39" t="n">
        <f aca="false">Assumptions!$C$15</f>
        <v>0.25</v>
      </c>
      <c r="U101" s="40" t="n">
        <f aca="false">J101*(1-T101)</f>
        <v>389925</v>
      </c>
      <c r="V101" s="41" t="n">
        <f aca="false">IF((1-T101)&gt;0.75,Assumptions!$C$11,IF((1-T101)&gt;0.7,Assumptions!$C$12,Assumptions!$C$13))</f>
        <v>0.0725</v>
      </c>
      <c r="W101" s="40" t="n">
        <f aca="false">PMT(V101/12,Assumptions!$C$14,-U101)+J101*INDEX(Assumptions!$C$28:$C$34,MATCH(C101,Assumptions!$B$28:$B$34,0))/12+(INDEX(Assumptions!$D$28:$D$34,MATCH(C101,Assumptions!$B$28:$B$34,0))+INDEX(Assumptions!$C$22:$C$25,MATCH(R101,Assumptions!$B$22:$B$25,0)))/12</f>
        <v>4354.83419334244</v>
      </c>
      <c r="X101" s="40" t="n">
        <f aca="false">W101*12*$B$18/Assumptions!$C$18</f>
        <v>65322.5129001366</v>
      </c>
      <c r="Y101" s="40" t="n">
        <f aca="false">W101*12*$B$19/Assumptions!$C$18</f>
        <v>81653.1411251708</v>
      </c>
      <c r="Z101" s="40" t="n">
        <f aca="false">J101*(T101+Assumptions!$C$16)</f>
        <v>150771</v>
      </c>
      <c r="AA101" s="56" t="n">
        <f aca="false">IF(ISNUMBER(F101),F101,IF(H101&gt;=2000,4,3))</f>
        <v>3</v>
      </c>
      <c r="AB101" s="40" t="n">
        <f aca="false">IFERROR(INDEX($E$18:$H$25,MATCH(D101,$D$18:$D$25,0),1+IF(AA101&gt;=4,2,0)+IF(Q101="Y",1,0)),0)</f>
        <v>55000</v>
      </c>
      <c r="AC101" s="42" t="n">
        <f aca="false">IFERROR(AB101/X101,0)</f>
        <v>0.841976181842279</v>
      </c>
      <c r="AD101" s="57" t="str">
        <f aca="false">IF(ISNUMBER(SEARCH("Mobile",E101)),"EXCLUDED",IF(AB101&gt;=Y101,"PASS",IF(AB101&gt;=X101,"MARGINAL","FAIL")))</f>
        <v>FAIL</v>
      </c>
      <c r="AE101" s="35"/>
    </row>
    <row r="102" customFormat="false" ht="15" hidden="false" customHeight="false" outlineLevel="0" collapsed="false">
      <c r="A102" s="27" t="s">
        <v>218</v>
      </c>
      <c r="B102" s="27" t="s">
        <v>141</v>
      </c>
      <c r="C102" s="27" t="s">
        <v>80</v>
      </c>
      <c r="D102" s="27" t="s">
        <v>477</v>
      </c>
      <c r="E102" s="27" t="s">
        <v>506</v>
      </c>
      <c r="F102" s="27" t="n">
        <v>3</v>
      </c>
      <c r="G102" s="27" t="n">
        <v>2</v>
      </c>
      <c r="H102" s="52" t="n">
        <v>1946</v>
      </c>
      <c r="I102" s="13" t="n">
        <v>1986</v>
      </c>
      <c r="J102" s="19" t="n">
        <v>619000</v>
      </c>
      <c r="K102" s="13" t="n">
        <v>147</v>
      </c>
      <c r="L102" s="27" t="s">
        <v>689</v>
      </c>
      <c r="M102" s="19" t="n">
        <v>297900</v>
      </c>
      <c r="N102" s="19" t="n">
        <v>629480</v>
      </c>
      <c r="O102" s="27" t="s">
        <v>458</v>
      </c>
      <c r="P102" s="27" t="s">
        <v>154</v>
      </c>
      <c r="Q102" s="27" t="s">
        <v>145</v>
      </c>
      <c r="R102" s="27" t="s">
        <v>69</v>
      </c>
      <c r="S102" s="27" t="s">
        <v>527</v>
      </c>
      <c r="T102" s="28" t="n">
        <f aca="false">Assumptions!$C$15</f>
        <v>0.25</v>
      </c>
      <c r="U102" s="21" t="n">
        <f aca="false">J102*(1-T102)</f>
        <v>464250</v>
      </c>
      <c r="V102" s="29" t="n">
        <f aca="false">IF((1-T102)&gt;0.75,Assumptions!$C$11,IF((1-T102)&gt;0.7,Assumptions!$C$12,Assumptions!$C$13))</f>
        <v>0.0725</v>
      </c>
      <c r="W102" s="21" t="n">
        <f aca="false">PMT(V102/12,Assumptions!$C$14,-U102)+J102*INDEX(Assumptions!$C$28:$C$34,MATCH(C102,Assumptions!$B$28:$B$34,0))/12+(INDEX(Assumptions!$D$28:$D$34,MATCH(C102,Assumptions!$B$28:$B$34,0))+INDEX(Assumptions!$C$22:$C$25,MATCH(R102,Assumptions!$B$22:$B$25,0)))/12</f>
        <v>4607.42004682754</v>
      </c>
      <c r="X102" s="21" t="n">
        <f aca="false">W102*12*$B$18/Assumptions!$C$18</f>
        <v>69111.3007024131</v>
      </c>
      <c r="Y102" s="21" t="n">
        <f aca="false">W102*12*$B$19/Assumptions!$C$18</f>
        <v>86389.1258780163</v>
      </c>
      <c r="Z102" s="21" t="n">
        <f aca="false">J102*(T102+Assumptions!$C$16)</f>
        <v>179510</v>
      </c>
      <c r="AA102" s="53" t="n">
        <f aca="false">IF(ISNUMBER(F102),F102,IF(H102&gt;=2000,4,3))</f>
        <v>3</v>
      </c>
      <c r="AB102" s="21" t="n">
        <f aca="false">IFERROR(INDEX($E$18:$H$25,MATCH(D102,$D$18:$D$25,0),1+IF(AA102&gt;=4,2,0)+IF(Q102="Y",1,0)),0)</f>
        <v>58000</v>
      </c>
      <c r="AC102" s="30" t="n">
        <f aca="false">IFERROR(AB102/X102,0)</f>
        <v>0.839225993585951</v>
      </c>
      <c r="AD102" s="4" t="str">
        <f aca="false">IF(ISNUMBER(SEARCH("Mobile",E102)),"EXCLUDED",IF(AB102&gt;=Y102,"PASS",IF(AB102&gt;=X102,"MARGINAL","FAIL")))</f>
        <v>FAIL</v>
      </c>
      <c r="AE102" s="26" t="s">
        <v>605</v>
      </c>
    </row>
    <row r="103" customFormat="false" ht="23.85" hidden="false" customHeight="false" outlineLevel="0" collapsed="false">
      <c r="A103" s="36" t="s">
        <v>690</v>
      </c>
      <c r="B103" s="36" t="s">
        <v>310</v>
      </c>
      <c r="C103" s="36" t="s">
        <v>18</v>
      </c>
      <c r="D103" s="36" t="s">
        <v>484</v>
      </c>
      <c r="E103" s="36" t="s">
        <v>552</v>
      </c>
      <c r="F103" s="36"/>
      <c r="G103" s="36"/>
      <c r="H103" s="55" t="n">
        <v>2464</v>
      </c>
      <c r="I103" s="34" t="n">
        <v>2007</v>
      </c>
      <c r="J103" s="37" t="n">
        <v>539000</v>
      </c>
      <c r="K103" s="34" t="n">
        <v>25</v>
      </c>
      <c r="L103" s="36" t="s">
        <v>691</v>
      </c>
      <c r="M103" s="37" t="n">
        <v>438700</v>
      </c>
      <c r="N103" s="37" t="n">
        <v>525559</v>
      </c>
      <c r="O103" s="36" t="s">
        <v>458</v>
      </c>
      <c r="P103" s="36" t="s">
        <v>154</v>
      </c>
      <c r="Q103" s="36" t="s">
        <v>154</v>
      </c>
      <c r="R103" s="36" t="s">
        <v>69</v>
      </c>
      <c r="S103" s="36" t="s">
        <v>520</v>
      </c>
      <c r="T103" s="39" t="n">
        <f aca="false">Assumptions!$C$15</f>
        <v>0.25</v>
      </c>
      <c r="U103" s="40" t="n">
        <f aca="false">J103*(1-T103)</f>
        <v>404250</v>
      </c>
      <c r="V103" s="41" t="n">
        <f aca="false">IF((1-T103)&gt;0.75,Assumptions!$C$11,IF((1-T103)&gt;0.7,Assumptions!$C$12,Assumptions!$C$13))</f>
        <v>0.0725</v>
      </c>
      <c r="W103" s="40" t="n">
        <f aca="false">PMT(V103/12,Assumptions!$C$14,-U103)+J103*INDEX(Assumptions!$C$28:$C$34,MATCH(C103,Assumptions!$B$28:$B$34,0))/12+(INDEX(Assumptions!$D$28:$D$34,MATCH(C103,Assumptions!$B$28:$B$34,0))+INDEX(Assumptions!$C$22:$C$25,MATCH(R103,Assumptions!$B$22:$B$25,0)))/12</f>
        <v>4143.03094546049</v>
      </c>
      <c r="X103" s="40" t="n">
        <f aca="false">W103*12*$B$18/Assumptions!$C$18</f>
        <v>62145.4641819073</v>
      </c>
      <c r="Y103" s="40" t="n">
        <f aca="false">W103*12*$B$19/Assumptions!$C$18</f>
        <v>77681.8302273842</v>
      </c>
      <c r="Z103" s="40" t="n">
        <f aca="false">J103*(T103+Assumptions!$C$16)</f>
        <v>156310</v>
      </c>
      <c r="AA103" s="56" t="n">
        <f aca="false">IF(ISNUMBER(F103),F103,IF(H103&gt;=2000,4,3))</f>
        <v>4</v>
      </c>
      <c r="AB103" s="40" t="n">
        <f aca="false">IFERROR(INDEX($E$18:$H$25,MATCH(D103,$D$18:$D$25,0),1+IF(AA103&gt;=4,2,0)+IF(Q103="Y",1,0)),0)</f>
        <v>52000</v>
      </c>
      <c r="AC103" s="42" t="n">
        <f aca="false">IFERROR(AB103/X103,0)</f>
        <v>0.836746505711015</v>
      </c>
      <c r="AD103" s="57" t="str">
        <f aca="false">IF(ISNUMBER(SEARCH("Mobile",E103)),"EXCLUDED",IF(AB103&gt;=Y103,"PASS",IF(AB103&gt;=X103,"MARGINAL","FAIL")))</f>
        <v>FAIL</v>
      </c>
      <c r="AE103" s="35" t="s">
        <v>546</v>
      </c>
    </row>
    <row r="104" customFormat="false" ht="23.85" hidden="false" customHeight="false" outlineLevel="0" collapsed="false">
      <c r="A104" s="27" t="s">
        <v>692</v>
      </c>
      <c r="B104" s="27" t="s">
        <v>310</v>
      </c>
      <c r="C104" s="27" t="s">
        <v>18</v>
      </c>
      <c r="D104" s="27" t="s">
        <v>484</v>
      </c>
      <c r="E104" s="27" t="s">
        <v>552</v>
      </c>
      <c r="F104" s="27"/>
      <c r="G104" s="27"/>
      <c r="H104" s="52" t="n">
        <v>2538</v>
      </c>
      <c r="I104" s="13" t="n">
        <v>2007</v>
      </c>
      <c r="J104" s="19" t="n">
        <v>539000</v>
      </c>
      <c r="K104" s="13" t="n">
        <v>12</v>
      </c>
      <c r="L104" s="27" t="s">
        <v>693</v>
      </c>
      <c r="M104" s="19" t="n">
        <v>345000</v>
      </c>
      <c r="N104" s="19" t="n">
        <v>353456</v>
      </c>
      <c r="O104" s="27" t="s">
        <v>448</v>
      </c>
      <c r="P104" s="27" t="s">
        <v>154</v>
      </c>
      <c r="Q104" s="27" t="s">
        <v>154</v>
      </c>
      <c r="R104" s="27" t="s">
        <v>69</v>
      </c>
      <c r="S104" s="27" t="s">
        <v>520</v>
      </c>
      <c r="T104" s="28" t="n">
        <f aca="false">Assumptions!$C$15</f>
        <v>0.25</v>
      </c>
      <c r="U104" s="21" t="n">
        <f aca="false">J104*(1-T104)</f>
        <v>404250</v>
      </c>
      <c r="V104" s="29" t="n">
        <f aca="false">IF((1-T104)&gt;0.75,Assumptions!$C$11,IF((1-T104)&gt;0.7,Assumptions!$C$12,Assumptions!$C$13))</f>
        <v>0.0725</v>
      </c>
      <c r="W104" s="21" t="n">
        <f aca="false">PMT(V104/12,Assumptions!$C$14,-U104)+J104*INDEX(Assumptions!$C$28:$C$34,MATCH(C104,Assumptions!$B$28:$B$34,0))/12+(INDEX(Assumptions!$D$28:$D$34,MATCH(C104,Assumptions!$B$28:$B$34,0))+INDEX(Assumptions!$C$22:$C$25,MATCH(R104,Assumptions!$B$22:$B$25,0)))/12</f>
        <v>4143.03094546049</v>
      </c>
      <c r="X104" s="21" t="n">
        <f aca="false">W104*12*$B$18/Assumptions!$C$18</f>
        <v>62145.4641819073</v>
      </c>
      <c r="Y104" s="21" t="n">
        <f aca="false">W104*12*$B$19/Assumptions!$C$18</f>
        <v>77681.8302273842</v>
      </c>
      <c r="Z104" s="21" t="n">
        <f aca="false">J104*(T104+Assumptions!$C$16)</f>
        <v>156310</v>
      </c>
      <c r="AA104" s="53" t="n">
        <f aca="false">IF(ISNUMBER(F104),F104,IF(H104&gt;=2000,4,3))</f>
        <v>4</v>
      </c>
      <c r="AB104" s="21" t="n">
        <f aca="false">IFERROR(INDEX($E$18:$H$25,MATCH(D104,$D$18:$D$25,0),1+IF(AA104&gt;=4,2,0)+IF(Q104="Y",1,0)),0)</f>
        <v>52000</v>
      </c>
      <c r="AC104" s="30" t="n">
        <f aca="false">IFERROR(AB104/X104,0)</f>
        <v>0.836746505711015</v>
      </c>
      <c r="AD104" s="4" t="str">
        <f aca="false">IF(ISNUMBER(SEARCH("Mobile",E104)),"EXCLUDED",IF(AB104&gt;=Y104,"PASS",IF(AB104&gt;=X104,"MARGINAL","FAIL")))</f>
        <v>FAIL</v>
      </c>
      <c r="AE104" s="26" t="s">
        <v>546</v>
      </c>
    </row>
    <row r="105" customFormat="false" ht="15" hidden="false" customHeight="false" outlineLevel="0" collapsed="false">
      <c r="A105" s="36" t="s">
        <v>694</v>
      </c>
      <c r="B105" s="36" t="s">
        <v>331</v>
      </c>
      <c r="C105" s="36" t="s">
        <v>85</v>
      </c>
      <c r="D105" s="36" t="s">
        <v>485</v>
      </c>
      <c r="E105" s="36" t="s">
        <v>506</v>
      </c>
      <c r="F105" s="36" t="n">
        <v>3</v>
      </c>
      <c r="G105" s="36" t="n">
        <v>2</v>
      </c>
      <c r="H105" s="55" t="n">
        <v>2269</v>
      </c>
      <c r="I105" s="34" t="n">
        <v>2006</v>
      </c>
      <c r="J105" s="37" t="n">
        <v>525000</v>
      </c>
      <c r="K105" s="34" t="n">
        <v>164</v>
      </c>
      <c r="L105" s="36" t="s">
        <v>695</v>
      </c>
      <c r="M105" s="37" t="n">
        <v>211100</v>
      </c>
      <c r="N105" s="37" t="n">
        <v>520780</v>
      </c>
      <c r="O105" s="36" t="s">
        <v>448</v>
      </c>
      <c r="P105" s="36" t="s">
        <v>154</v>
      </c>
      <c r="Q105" s="36" t="s">
        <v>145</v>
      </c>
      <c r="R105" s="36" t="s">
        <v>71</v>
      </c>
      <c r="S105" s="36" t="s">
        <v>508</v>
      </c>
      <c r="T105" s="39" t="n">
        <f aca="false">Assumptions!$C$15</f>
        <v>0.25</v>
      </c>
      <c r="U105" s="40" t="n">
        <f aca="false">J105*(1-T105)</f>
        <v>393750</v>
      </c>
      <c r="V105" s="41" t="n">
        <f aca="false">IF((1-T105)&gt;0.75,Assumptions!$C$11,IF((1-T105)&gt;0.7,Assumptions!$C$12,Assumptions!$C$13))</f>
        <v>0.0725</v>
      </c>
      <c r="W105" s="40" t="n">
        <f aca="false">PMT(V105/12,Assumptions!$C$14,-U105)+J105*INDEX(Assumptions!$C$28:$C$34,MATCH(C105,Assumptions!$B$28:$B$34,0))/12+(INDEX(Assumptions!$D$28:$D$34,MATCH(C105,Assumptions!$B$28:$B$34,0))+INDEX(Assumptions!$C$22:$C$25,MATCH(R105,Assumptions!$B$22:$B$25,0)))/12</f>
        <v>4388.15243605459</v>
      </c>
      <c r="X105" s="40" t="n">
        <f aca="false">W105*12*$B$18/Assumptions!$C$18</f>
        <v>65822.2865408188</v>
      </c>
      <c r="Y105" s="40" t="n">
        <f aca="false">W105*12*$B$19/Assumptions!$C$18</f>
        <v>82277.8581760235</v>
      </c>
      <c r="Z105" s="40" t="n">
        <f aca="false">J105*(T105+Assumptions!$C$16)</f>
        <v>152250</v>
      </c>
      <c r="AA105" s="56" t="n">
        <f aca="false">IF(ISNUMBER(F105),F105,IF(H105&gt;=2000,4,3))</f>
        <v>3</v>
      </c>
      <c r="AB105" s="40" t="n">
        <f aca="false">IFERROR(INDEX($E$18:$H$25,MATCH(D105,$D$18:$D$25,0),1+IF(AA105&gt;=4,2,0)+IF(Q105="Y",1,0)),0)</f>
        <v>55000</v>
      </c>
      <c r="AC105" s="42" t="n">
        <f aca="false">IFERROR(AB105/X105,0)</f>
        <v>0.835583248325664</v>
      </c>
      <c r="AD105" s="57" t="str">
        <f aca="false">IF(ISNUMBER(SEARCH("Mobile",E105)),"EXCLUDED",IF(AB105&gt;=Y105,"PASS",IF(AB105&gt;=X105,"MARGINAL","FAIL")))</f>
        <v>FAIL</v>
      </c>
      <c r="AE105" s="35"/>
    </row>
    <row r="106" customFormat="false" ht="23.85" hidden="false" customHeight="false" outlineLevel="0" collapsed="false">
      <c r="A106" s="27" t="s">
        <v>696</v>
      </c>
      <c r="B106" s="27" t="s">
        <v>697</v>
      </c>
      <c r="C106" s="27" t="s">
        <v>18</v>
      </c>
      <c r="D106" s="27" t="s">
        <v>484</v>
      </c>
      <c r="E106" s="27" t="s">
        <v>506</v>
      </c>
      <c r="F106" s="27"/>
      <c r="G106" s="27" t="n">
        <v>3</v>
      </c>
      <c r="H106" s="52" t="n">
        <v>2114</v>
      </c>
      <c r="I106" s="13" t="n">
        <v>1956</v>
      </c>
      <c r="J106" s="19" t="n">
        <v>539900</v>
      </c>
      <c r="K106" s="13" t="n">
        <v>451</v>
      </c>
      <c r="L106" s="27" t="s">
        <v>698</v>
      </c>
      <c r="M106" s="19" t="n">
        <v>55000</v>
      </c>
      <c r="N106" s="19" t="n">
        <v>536557</v>
      </c>
      <c r="O106" s="27" t="s">
        <v>458</v>
      </c>
      <c r="P106" s="27" t="s">
        <v>154</v>
      </c>
      <c r="Q106" s="27" t="s">
        <v>154</v>
      </c>
      <c r="R106" s="27" t="s">
        <v>69</v>
      </c>
      <c r="S106" s="27" t="s">
        <v>532</v>
      </c>
      <c r="T106" s="28" t="n">
        <f aca="false">Assumptions!$C$15</f>
        <v>0.25</v>
      </c>
      <c r="U106" s="21" t="n">
        <f aca="false">J106*(1-T106)</f>
        <v>404925</v>
      </c>
      <c r="V106" s="29" t="n">
        <f aca="false">IF((1-T106)&gt;0.75,Assumptions!$C$11,IF((1-T106)&gt;0.7,Assumptions!$C$12,Assumptions!$C$13))</f>
        <v>0.0725</v>
      </c>
      <c r="W106" s="21" t="n">
        <f aca="false">PMT(V106/12,Assumptions!$C$14,-U106)+J106*INDEX(Assumptions!$C$28:$C$34,MATCH(C106,Assumptions!$B$28:$B$34,0))/12+(INDEX(Assumptions!$D$28:$D$34,MATCH(C106,Assumptions!$B$28:$B$34,0))+INDEX(Assumptions!$C$22:$C$25,MATCH(R106,Assumptions!$B$22:$B$25,0)))/12</f>
        <v>4148.83563535087</v>
      </c>
      <c r="X106" s="21" t="n">
        <f aca="false">W106*12*$B$18/Assumptions!$C$18</f>
        <v>62232.534530263</v>
      </c>
      <c r="Y106" s="21" t="n">
        <f aca="false">W106*12*$B$19/Assumptions!$C$18</f>
        <v>77790.6681628288</v>
      </c>
      <c r="Z106" s="21" t="n">
        <f aca="false">J106*(T106+Assumptions!$C$16)</f>
        <v>156571</v>
      </c>
      <c r="AA106" s="53" t="n">
        <f aca="false">IF(ISNUMBER(F106),F106,IF(H106&gt;=2000,4,3))</f>
        <v>4</v>
      </c>
      <c r="AB106" s="21" t="n">
        <f aca="false">IFERROR(INDEX($E$18:$H$25,MATCH(D106,$D$18:$D$25,0),1+IF(AA106&gt;=4,2,0)+IF(Q106="Y",1,0)),0)</f>
        <v>52000</v>
      </c>
      <c r="AC106" s="30" t="n">
        <f aca="false">IFERROR(AB106/X106,0)</f>
        <v>0.83557580279352</v>
      </c>
      <c r="AD106" s="4" t="str">
        <f aca="false">IF(ISNUMBER(SEARCH("Mobile",E106)),"EXCLUDED",IF(AB106&gt;=Y106,"PASS",IF(AB106&gt;=X106,"MARGINAL","FAIL")))</f>
        <v>FAIL</v>
      </c>
      <c r="AE106" s="26" t="s">
        <v>546</v>
      </c>
    </row>
    <row r="107" customFormat="false" ht="15" hidden="false" customHeight="false" outlineLevel="0" collapsed="false">
      <c r="A107" s="36" t="s">
        <v>699</v>
      </c>
      <c r="B107" s="36" t="s">
        <v>700</v>
      </c>
      <c r="C107" s="36" t="s">
        <v>87</v>
      </c>
      <c r="D107" s="36" t="s">
        <v>486</v>
      </c>
      <c r="E107" s="36" t="s">
        <v>506</v>
      </c>
      <c r="F107" s="36" t="n">
        <v>3</v>
      </c>
      <c r="G107" s="36" t="n">
        <v>2</v>
      </c>
      <c r="H107" s="55" t="n">
        <v>1822</v>
      </c>
      <c r="I107" s="34" t="n">
        <v>1991</v>
      </c>
      <c r="J107" s="37" t="n">
        <v>375000</v>
      </c>
      <c r="K107" s="34" t="n">
        <v>34</v>
      </c>
      <c r="L107" s="36" t="s">
        <v>701</v>
      </c>
      <c r="M107" s="37" t="n">
        <v>235000</v>
      </c>
      <c r="N107" s="37" t="n">
        <v>353495</v>
      </c>
      <c r="O107" s="36" t="s">
        <v>515</v>
      </c>
      <c r="P107" s="36" t="s">
        <v>154</v>
      </c>
      <c r="Q107" s="36" t="s">
        <v>154</v>
      </c>
      <c r="R107" s="36" t="s">
        <v>71</v>
      </c>
      <c r="S107" s="36" t="s">
        <v>702</v>
      </c>
      <c r="T107" s="39" t="n">
        <f aca="false">Assumptions!$C$15</f>
        <v>0.25</v>
      </c>
      <c r="U107" s="40" t="n">
        <f aca="false">J107*(1-T107)</f>
        <v>281250</v>
      </c>
      <c r="V107" s="41" t="n">
        <f aca="false">IF((1-T107)&gt;0.75,Assumptions!$C$11,IF((1-T107)&gt;0.7,Assumptions!$C$12,Assumptions!$C$13))</f>
        <v>0.0725</v>
      </c>
      <c r="W107" s="40" t="n">
        <f aca="false">PMT(V107/12,Assumptions!$C$14,-U107)+J107*INDEX(Assumptions!$C$28:$C$34,MATCH(C107,Assumptions!$B$28:$B$34,0))/12+(INDEX(Assumptions!$D$28:$D$34,MATCH(C107,Assumptions!$B$28:$B$34,0))+INDEX(Assumptions!$C$22:$C$25,MATCH(R107,Assumptions!$B$22:$B$25,0)))/12</f>
        <v>3392.57912099137</v>
      </c>
      <c r="X107" s="40" t="n">
        <f aca="false">W107*12*$B$18/Assumptions!$C$18</f>
        <v>50888.6868148706</v>
      </c>
      <c r="Y107" s="40" t="n">
        <f aca="false">W107*12*$B$19/Assumptions!$C$18</f>
        <v>63610.8585185883</v>
      </c>
      <c r="Z107" s="40" t="n">
        <f aca="false">J107*(T107+Assumptions!$C$16)</f>
        <v>108750</v>
      </c>
      <c r="AA107" s="56" t="n">
        <f aca="false">IF(ISNUMBER(F107),F107,IF(H107&gt;=2000,4,3))</f>
        <v>3</v>
      </c>
      <c r="AB107" s="40" t="n">
        <f aca="false">IFERROR(INDEX($E$18:$H$25,MATCH(D107,$D$18:$D$25,0),1+IF(AA107&gt;=4,2,0)+IF(Q107="Y",1,0)),0)</f>
        <v>42000</v>
      </c>
      <c r="AC107" s="42" t="n">
        <f aca="false">IFERROR(AB107/X107,0)</f>
        <v>0.825330788212181</v>
      </c>
      <c r="AD107" s="57" t="str">
        <f aca="false">IF(ISNUMBER(SEARCH("Mobile",E107)),"EXCLUDED",IF(AB107&gt;=Y107,"PASS",IF(AB107&gt;=X107,"MARGINAL","FAIL")))</f>
        <v>FAIL</v>
      </c>
      <c r="AE107" s="35"/>
    </row>
    <row r="108" customFormat="false" ht="23.85" hidden="false" customHeight="false" outlineLevel="0" collapsed="false">
      <c r="A108" s="27" t="s">
        <v>703</v>
      </c>
      <c r="B108" s="27" t="s">
        <v>297</v>
      </c>
      <c r="C108" s="27" t="s">
        <v>18</v>
      </c>
      <c r="D108" s="27" t="s">
        <v>484</v>
      </c>
      <c r="E108" s="27" t="s">
        <v>506</v>
      </c>
      <c r="F108" s="27"/>
      <c r="G108" s="27" t="n">
        <v>2</v>
      </c>
      <c r="H108" s="52" t="n">
        <v>1634</v>
      </c>
      <c r="I108" s="13" t="n">
        <v>1959</v>
      </c>
      <c r="J108" s="19" t="n">
        <v>650000</v>
      </c>
      <c r="K108" s="13" t="n">
        <v>891</v>
      </c>
      <c r="L108" s="27" t="s">
        <v>704</v>
      </c>
      <c r="M108" s="19" t="n">
        <v>300000</v>
      </c>
      <c r="N108" s="19" t="n">
        <v>615500</v>
      </c>
      <c r="O108" s="27" t="s">
        <v>453</v>
      </c>
      <c r="P108" s="27" t="s">
        <v>154</v>
      </c>
      <c r="Q108" s="27" t="s">
        <v>145</v>
      </c>
      <c r="R108" s="27" t="s">
        <v>69</v>
      </c>
      <c r="S108" s="27" t="s">
        <v>532</v>
      </c>
      <c r="T108" s="28" t="n">
        <f aca="false">Assumptions!$C$15</f>
        <v>0.25</v>
      </c>
      <c r="U108" s="21" t="n">
        <f aca="false">J108*(1-T108)</f>
        <v>487500</v>
      </c>
      <c r="V108" s="29" t="n">
        <f aca="false">IF((1-T108)&gt;0.75,Assumptions!$C$11,IF((1-T108)&gt;0.7,Assumptions!$C$12,Assumptions!$C$13))</f>
        <v>0.0725</v>
      </c>
      <c r="W108" s="21" t="n">
        <f aca="false">PMT(V108/12,Assumptions!$C$14,-U108)+J108*INDEX(Assumptions!$C$28:$C$34,MATCH(C108,Assumptions!$B$28:$B$34,0))/12+(INDEX(Assumptions!$D$28:$D$34,MATCH(C108,Assumptions!$B$28:$B$34,0))+INDEX(Assumptions!$C$22:$C$25,MATCH(R108,Assumptions!$B$22:$B$25,0)))/12</f>
        <v>4858.94269860727</v>
      </c>
      <c r="X108" s="21" t="n">
        <f aca="false">W108*12*$B$18/Assumptions!$C$18</f>
        <v>72884.1404791091</v>
      </c>
      <c r="Y108" s="21" t="n">
        <f aca="false">W108*12*$B$19/Assumptions!$C$18</f>
        <v>91105.1755988863</v>
      </c>
      <c r="Z108" s="21" t="n">
        <f aca="false">J108*(T108+Assumptions!$C$16)</f>
        <v>188500</v>
      </c>
      <c r="AA108" s="53" t="n">
        <f aca="false">IF(ISNUMBER(F108),F108,IF(H108&gt;=2000,4,3))</f>
        <v>3</v>
      </c>
      <c r="AB108" s="21" t="n">
        <f aca="false">IFERROR(INDEX($E$18:$H$25,MATCH(D108,$D$18:$D$25,0),1+IF(AA108&gt;=4,2,0)+IF(Q108="Y",1,0)),0)</f>
        <v>60000</v>
      </c>
      <c r="AC108" s="30" t="n">
        <f aca="false">IFERROR(AB108/X108,0)</f>
        <v>0.823224361371154</v>
      </c>
      <c r="AD108" s="4" t="str">
        <f aca="false">IF(ISNUMBER(SEARCH("Mobile",E108)),"EXCLUDED",IF(AB108&gt;=Y108,"PASS",IF(AB108&gt;=X108,"MARGINAL","FAIL")))</f>
        <v>FAIL</v>
      </c>
      <c r="AE108" s="26" t="s">
        <v>546</v>
      </c>
    </row>
    <row r="109" customFormat="false" ht="15" hidden="false" customHeight="false" outlineLevel="0" collapsed="false">
      <c r="A109" s="36" t="s">
        <v>705</v>
      </c>
      <c r="B109" s="36" t="s">
        <v>607</v>
      </c>
      <c r="C109" s="36" t="s">
        <v>80</v>
      </c>
      <c r="D109" s="36" t="s">
        <v>480</v>
      </c>
      <c r="E109" s="36" t="s">
        <v>506</v>
      </c>
      <c r="F109" s="36" t="n">
        <v>4</v>
      </c>
      <c r="G109" s="36" t="n">
        <v>2</v>
      </c>
      <c r="H109" s="55" t="n">
        <v>1941</v>
      </c>
      <c r="I109" s="34" t="n">
        <v>2001</v>
      </c>
      <c r="J109" s="37" t="n">
        <v>429900</v>
      </c>
      <c r="K109" s="34" t="n">
        <v>181</v>
      </c>
      <c r="L109" s="36" t="s">
        <v>706</v>
      </c>
      <c r="M109" s="37" t="n">
        <v>169000</v>
      </c>
      <c r="N109" s="37" t="n">
        <v>372426</v>
      </c>
      <c r="O109" s="36" t="s">
        <v>448</v>
      </c>
      <c r="P109" s="36" t="s">
        <v>154</v>
      </c>
      <c r="Q109" s="36" t="s">
        <v>154</v>
      </c>
      <c r="R109" s="36" t="s">
        <v>69</v>
      </c>
      <c r="S109" s="36" t="s">
        <v>597</v>
      </c>
      <c r="T109" s="39" t="n">
        <f aca="false">Assumptions!$C$15</f>
        <v>0.25</v>
      </c>
      <c r="U109" s="40" t="n">
        <f aca="false">J109*(1-T109)</f>
        <v>322425</v>
      </c>
      <c r="V109" s="41" t="n">
        <f aca="false">IF((1-T109)&gt;0.75,Assumptions!$C$11,IF((1-T109)&gt;0.7,Assumptions!$C$12,Assumptions!$C$13))</f>
        <v>0.0725</v>
      </c>
      <c r="W109" s="40" t="n">
        <f aca="false">PMT(V109/12,Assumptions!$C$14,-U109)+J109*INDEX(Assumptions!$C$28:$C$34,MATCH(C109,Assumptions!$B$28:$B$34,0))/12+(INDEX(Assumptions!$D$28:$D$34,MATCH(C109,Assumptions!$B$28:$B$34,0))+INDEX(Assumptions!$C$22:$C$25,MATCH(R109,Assumptions!$B$22:$B$25,0)))/12</f>
        <v>3403.54853763784</v>
      </c>
      <c r="X109" s="40" t="n">
        <f aca="false">W109*12*$B$18/Assumptions!$C$18</f>
        <v>51053.2280645676</v>
      </c>
      <c r="Y109" s="40" t="n">
        <f aca="false">W109*12*$B$19/Assumptions!$C$18</f>
        <v>63816.5350807096</v>
      </c>
      <c r="Z109" s="40" t="n">
        <f aca="false">J109*(T109+Assumptions!$C$16)</f>
        <v>124671</v>
      </c>
      <c r="AA109" s="56" t="n">
        <f aca="false">IF(ISNUMBER(F109),F109,IF(H109&gt;=2000,4,3))</f>
        <v>4</v>
      </c>
      <c r="AB109" s="40" t="n">
        <f aca="false">IFERROR(INDEX($E$18:$H$25,MATCH(D109,$D$18:$D$25,0),1+IF(AA109&gt;=4,2,0)+IF(Q109="Y",1,0)),0)</f>
        <v>42000</v>
      </c>
      <c r="AC109" s="42" t="n">
        <f aca="false">IFERROR(AB109/X109,0)</f>
        <v>0.822670800500256</v>
      </c>
      <c r="AD109" s="57" t="str">
        <f aca="false">IF(ISNUMBER(SEARCH("Mobile",E109)),"EXCLUDED",IF(AB109&gt;=Y109,"PASS",IF(AB109&gt;=X109,"MARGINAL","FAIL")))</f>
        <v>FAIL</v>
      </c>
      <c r="AE109" s="35"/>
    </row>
    <row r="110" customFormat="false" ht="15" hidden="false" customHeight="false" outlineLevel="0" collapsed="false">
      <c r="A110" s="27" t="s">
        <v>707</v>
      </c>
      <c r="B110" s="27" t="s">
        <v>231</v>
      </c>
      <c r="C110" s="27" t="s">
        <v>82</v>
      </c>
      <c r="D110" s="27" t="s">
        <v>482</v>
      </c>
      <c r="E110" s="27" t="s">
        <v>506</v>
      </c>
      <c r="F110" s="27" t="n">
        <v>4</v>
      </c>
      <c r="G110" s="27" t="n">
        <v>2</v>
      </c>
      <c r="H110" s="52" t="n">
        <v>1890</v>
      </c>
      <c r="I110" s="13" t="n">
        <v>1973</v>
      </c>
      <c r="J110" s="19" t="n">
        <v>595000</v>
      </c>
      <c r="K110" s="13" t="n">
        <v>25</v>
      </c>
      <c r="L110" s="27" t="s">
        <v>708</v>
      </c>
      <c r="M110" s="19" t="n">
        <v>156000</v>
      </c>
      <c r="N110" s="19" t="n">
        <v>511063</v>
      </c>
      <c r="O110" s="27" t="s">
        <v>453</v>
      </c>
      <c r="P110" s="27" t="s">
        <v>154</v>
      </c>
      <c r="Q110" s="27" t="s">
        <v>145</v>
      </c>
      <c r="R110" s="27" t="s">
        <v>69</v>
      </c>
      <c r="S110" s="27" t="s">
        <v>633</v>
      </c>
      <c r="T110" s="28" t="n">
        <f aca="false">Assumptions!$C$15</f>
        <v>0.25</v>
      </c>
      <c r="U110" s="21" t="n">
        <f aca="false">J110*(1-T110)</f>
        <v>446250</v>
      </c>
      <c r="V110" s="29" t="n">
        <f aca="false">IF((1-T110)&gt;0.75,Assumptions!$C$11,IF((1-T110)&gt;0.7,Assumptions!$C$12,Assumptions!$C$13))</f>
        <v>0.0725</v>
      </c>
      <c r="W110" s="21" t="n">
        <f aca="false">PMT(V110/12,Assumptions!$C$14,-U110)+J110*INDEX(Assumptions!$C$28:$C$34,MATCH(C110,Assumptions!$B$28:$B$34,0))/12+(INDEX(Assumptions!$D$28:$D$34,MATCH(C110,Assumptions!$B$28:$B$34,0))+INDEX(Assumptions!$C$22:$C$25,MATCH(R110,Assumptions!$B$22:$B$25,0)))/12</f>
        <v>4380.25331641742</v>
      </c>
      <c r="X110" s="21" t="n">
        <f aca="false">W110*12*$B$18/Assumptions!$C$18</f>
        <v>65703.7997462613</v>
      </c>
      <c r="Y110" s="21" t="n">
        <f aca="false">W110*12*$B$19/Assumptions!$C$18</f>
        <v>82129.7496828267</v>
      </c>
      <c r="Z110" s="21" t="n">
        <f aca="false">J110*(T110+Assumptions!$C$16)</f>
        <v>172550</v>
      </c>
      <c r="AA110" s="53" t="n">
        <f aca="false">IF(ISNUMBER(F110),F110,IF(H110&gt;=2000,4,3))</f>
        <v>4</v>
      </c>
      <c r="AB110" s="21" t="n">
        <f aca="false">IFERROR(INDEX($E$18:$H$25,MATCH(D110,$D$18:$D$25,0),1+IF(AA110&gt;=4,2,0)+IF(Q110="Y",1,0)),0)</f>
        <v>54000</v>
      </c>
      <c r="AC110" s="30" t="n">
        <f aca="false">IFERROR(AB110/X110,0)</f>
        <v>0.821870275517402</v>
      </c>
      <c r="AD110" s="4" t="str">
        <f aca="false">IF(ISNUMBER(SEARCH("Mobile",E110)),"EXCLUDED",IF(AB110&gt;=Y110,"PASS",IF(AB110&gt;=X110,"MARGINAL","FAIL")))</f>
        <v>FAIL</v>
      </c>
      <c r="AE110" s="26"/>
    </row>
    <row r="111" customFormat="false" ht="15" hidden="false" customHeight="false" outlineLevel="0" collapsed="false">
      <c r="A111" s="36" t="s">
        <v>709</v>
      </c>
      <c r="B111" s="36" t="s">
        <v>164</v>
      </c>
      <c r="C111" s="36" t="s">
        <v>82</v>
      </c>
      <c r="D111" s="36" t="s">
        <v>481</v>
      </c>
      <c r="E111" s="36" t="s">
        <v>506</v>
      </c>
      <c r="F111" s="36" t="n">
        <v>3</v>
      </c>
      <c r="G111" s="36" t="n">
        <v>3</v>
      </c>
      <c r="H111" s="55" t="n">
        <v>1802</v>
      </c>
      <c r="I111" s="34" t="n">
        <v>1959</v>
      </c>
      <c r="J111" s="37" t="n">
        <v>440000</v>
      </c>
      <c r="K111" s="34" t="n">
        <v>166</v>
      </c>
      <c r="L111" s="36" t="s">
        <v>710</v>
      </c>
      <c r="M111" s="37" t="n">
        <v>561600</v>
      </c>
      <c r="N111" s="37" t="n">
        <v>113724</v>
      </c>
      <c r="O111" s="36" t="s">
        <v>453</v>
      </c>
      <c r="P111" s="36" t="s">
        <v>154</v>
      </c>
      <c r="Q111" s="36" t="s">
        <v>154</v>
      </c>
      <c r="R111" s="36" t="s">
        <v>69</v>
      </c>
      <c r="S111" s="36" t="s">
        <v>633</v>
      </c>
      <c r="T111" s="39" t="n">
        <f aca="false">Assumptions!$C$15</f>
        <v>0.25</v>
      </c>
      <c r="U111" s="40" t="n">
        <f aca="false">J111*(1-T111)</f>
        <v>330000</v>
      </c>
      <c r="V111" s="41" t="n">
        <f aca="false">IF((1-T111)&gt;0.75,Assumptions!$C$11,IF((1-T111)&gt;0.7,Assumptions!$C$12,Assumptions!$C$13))</f>
        <v>0.0725</v>
      </c>
      <c r="W111" s="40" t="n">
        <f aca="false">PMT(V111/12,Assumptions!$C$14,-U111)+J111*INDEX(Assumptions!$C$28:$C$34,MATCH(C111,Assumptions!$B$28:$B$34,0))/12+(INDEX(Assumptions!$D$28:$D$34,MATCH(C111,Assumptions!$B$28:$B$34,0))+INDEX(Assumptions!$C$22:$C$25,MATCH(R111,Assumptions!$B$22:$B$25,0)))/12</f>
        <v>3412.8483908521</v>
      </c>
      <c r="X111" s="40" t="n">
        <f aca="false">W111*12*$B$18/Assumptions!$C$18</f>
        <v>51192.7258627815</v>
      </c>
      <c r="Y111" s="40" t="n">
        <f aca="false">W111*12*$B$19/Assumptions!$C$18</f>
        <v>63990.9073284769</v>
      </c>
      <c r="Z111" s="40" t="n">
        <f aca="false">J111*(T111+Assumptions!$C$16)</f>
        <v>127600</v>
      </c>
      <c r="AA111" s="56" t="n">
        <f aca="false">IF(ISNUMBER(F111),F111,IF(H111&gt;=2000,4,3))</f>
        <v>3</v>
      </c>
      <c r="AB111" s="40" t="n">
        <f aca="false">IFERROR(INDEX($E$18:$H$25,MATCH(D111,$D$18:$D$25,0),1+IF(AA111&gt;=4,2,0)+IF(Q111="Y",1,0)),0)</f>
        <v>42000</v>
      </c>
      <c r="AC111" s="42" t="n">
        <f aca="false">IFERROR(AB111/X111,0)</f>
        <v>0.820429060811844</v>
      </c>
      <c r="AD111" s="57" t="str">
        <f aca="false">IF(ISNUMBER(SEARCH("Mobile",E111)),"EXCLUDED",IF(AB111&gt;=Y111,"PASS",IF(AB111&gt;=X111,"MARGINAL","FAIL")))</f>
        <v>FAIL</v>
      </c>
      <c r="AE111" s="35"/>
    </row>
    <row r="112" customFormat="false" ht="23.85" hidden="false" customHeight="false" outlineLevel="0" collapsed="false">
      <c r="A112" s="27" t="s">
        <v>711</v>
      </c>
      <c r="B112" s="27" t="s">
        <v>288</v>
      </c>
      <c r="C112" s="27" t="s">
        <v>18</v>
      </c>
      <c r="D112" s="27" t="s">
        <v>484</v>
      </c>
      <c r="E112" s="27" t="s">
        <v>506</v>
      </c>
      <c r="F112" s="27"/>
      <c r="G112" s="27" t="n">
        <v>1.5</v>
      </c>
      <c r="H112" s="52" t="n">
        <v>1380</v>
      </c>
      <c r="I112" s="13" t="n">
        <v>1967</v>
      </c>
      <c r="J112" s="19" t="n">
        <v>420000</v>
      </c>
      <c r="K112" s="13" t="n">
        <v>63</v>
      </c>
      <c r="L112" s="27" t="s">
        <v>712</v>
      </c>
      <c r="M112" s="19" t="n">
        <v>17800</v>
      </c>
      <c r="N112" s="19" t="n">
        <v>80253</v>
      </c>
      <c r="O112" s="27" t="s">
        <v>515</v>
      </c>
      <c r="P112" s="27" t="s">
        <v>154</v>
      </c>
      <c r="Q112" s="27" t="s">
        <v>154</v>
      </c>
      <c r="R112" s="27" t="s">
        <v>71</v>
      </c>
      <c r="S112" s="27" t="s">
        <v>520</v>
      </c>
      <c r="T112" s="28" t="n">
        <f aca="false">Assumptions!$C$15</f>
        <v>0.25</v>
      </c>
      <c r="U112" s="21" t="n">
        <f aca="false">J112*(1-T112)</f>
        <v>315000</v>
      </c>
      <c r="V112" s="29" t="n">
        <f aca="false">IF((1-T112)&gt;0.75,Assumptions!$C$11,IF((1-T112)&gt;0.7,Assumptions!$C$12,Assumptions!$C$13))</f>
        <v>0.0725</v>
      </c>
      <c r="W112" s="21" t="n">
        <f aca="false">PMT(V112/12,Assumptions!$C$14,-U112)+J112*INDEX(Assumptions!$C$28:$C$34,MATCH(C112,Assumptions!$B$28:$B$34,0))/12+(INDEX(Assumptions!$D$28:$D$34,MATCH(C112,Assumptions!$B$28:$B$34,0))+INDEX(Assumptions!$C$22:$C$25,MATCH(R112,Assumptions!$B$22:$B$25,0)))/12</f>
        <v>3667.18861551034</v>
      </c>
      <c r="X112" s="21" t="n">
        <f aca="false">W112*12*$B$18/Assumptions!$C$18</f>
        <v>55007.8292326551</v>
      </c>
      <c r="Y112" s="21" t="n">
        <f aca="false">W112*12*$B$19/Assumptions!$C$18</f>
        <v>68759.7865408188</v>
      </c>
      <c r="Z112" s="21" t="n">
        <f aca="false">J112*(T112+Assumptions!$C$16)</f>
        <v>121800</v>
      </c>
      <c r="AA112" s="53" t="n">
        <f aca="false">IF(ISNUMBER(F112),F112,IF(H112&gt;=2000,4,3))</f>
        <v>3</v>
      </c>
      <c r="AB112" s="21" t="n">
        <f aca="false">IFERROR(INDEX($E$18:$H$25,MATCH(D112,$D$18:$D$25,0),1+IF(AA112&gt;=4,2,0)+IF(Q112="Y",1,0)),0)</f>
        <v>45000</v>
      </c>
      <c r="AC112" s="30" t="n">
        <f aca="false">IFERROR(AB112/X112,0)</f>
        <v>0.818065366834836</v>
      </c>
      <c r="AD112" s="4" t="str">
        <f aca="false">IF(ISNUMBER(SEARCH("Mobile",E112)),"EXCLUDED",IF(AB112&gt;=Y112,"PASS",IF(AB112&gt;=X112,"MARGINAL","FAIL")))</f>
        <v>FAIL</v>
      </c>
      <c r="AE112" s="26" t="s">
        <v>546</v>
      </c>
    </row>
    <row r="113" customFormat="false" ht="15" hidden="false" customHeight="false" outlineLevel="0" collapsed="false">
      <c r="A113" s="36" t="s">
        <v>713</v>
      </c>
      <c r="B113" s="36" t="s">
        <v>644</v>
      </c>
      <c r="C113" s="36" t="s">
        <v>80</v>
      </c>
      <c r="D113" s="36" t="s">
        <v>480</v>
      </c>
      <c r="E113" s="36" t="s">
        <v>506</v>
      </c>
      <c r="F113" s="36" t="n">
        <v>4</v>
      </c>
      <c r="G113" s="36" t="n">
        <v>3</v>
      </c>
      <c r="H113" s="55" t="n">
        <v>1698</v>
      </c>
      <c r="I113" s="34" t="n">
        <v>2023</v>
      </c>
      <c r="J113" s="37" t="n">
        <v>420000</v>
      </c>
      <c r="K113" s="34" t="n">
        <v>193</v>
      </c>
      <c r="L113" s="36"/>
      <c r="M113" s="37"/>
      <c r="N113" s="37" t="n">
        <v>16197</v>
      </c>
      <c r="O113" s="36" t="s">
        <v>448</v>
      </c>
      <c r="P113" s="36" t="s">
        <v>154</v>
      </c>
      <c r="Q113" s="36" t="s">
        <v>154</v>
      </c>
      <c r="R113" s="36" t="s">
        <v>75</v>
      </c>
      <c r="S113" s="36" t="s">
        <v>597</v>
      </c>
      <c r="T113" s="39" t="n">
        <f aca="false">Assumptions!$C$15</f>
        <v>0.25</v>
      </c>
      <c r="U113" s="40" t="n">
        <f aca="false">J113*(1-T113)</f>
        <v>315000</v>
      </c>
      <c r="V113" s="41" t="n">
        <f aca="false">IF((1-T113)&gt;0.75,Assumptions!$C$11,IF((1-T113)&gt;0.7,Assumptions!$C$12,Assumptions!$C$13))</f>
        <v>0.0725</v>
      </c>
      <c r="W113" s="40" t="n">
        <f aca="false">PMT(V113/12,Assumptions!$C$14,-U113)+J113*INDEX(Assumptions!$C$28:$C$34,MATCH(C113,Assumptions!$B$28:$B$34,0))/12+(INDEX(Assumptions!$D$28:$D$34,MATCH(C113,Assumptions!$B$28:$B$34,0))+INDEX(Assumptions!$C$22:$C$25,MATCH(R113,Assumptions!$B$22:$B$25,0)))/12</f>
        <v>3423.855282177</v>
      </c>
      <c r="X113" s="40" t="n">
        <f aca="false">W113*12*$B$18/Assumptions!$C$18</f>
        <v>51357.8292326551</v>
      </c>
      <c r="Y113" s="40" t="n">
        <f aca="false">W113*12*$B$19/Assumptions!$C$18</f>
        <v>64197.2865408188</v>
      </c>
      <c r="Z113" s="40" t="n">
        <f aca="false">J113*(T113+Assumptions!$C$16)</f>
        <v>121800</v>
      </c>
      <c r="AA113" s="56" t="n">
        <f aca="false">IF(ISNUMBER(F113),F113,IF(H113&gt;=2000,4,3))</f>
        <v>4</v>
      </c>
      <c r="AB113" s="40" t="n">
        <f aca="false">IFERROR(INDEX($E$18:$H$25,MATCH(D113,$D$18:$D$25,0),1+IF(AA113&gt;=4,2,0)+IF(Q113="Y",1,0)),0)</f>
        <v>42000</v>
      </c>
      <c r="AC113" s="42" t="n">
        <f aca="false">IFERROR(AB113/X113,0)</f>
        <v>0.817791573894929</v>
      </c>
      <c r="AD113" s="57" t="str">
        <f aca="false">IF(ISNUMBER(SEARCH("Mobile",E113)),"EXCLUDED",IF(AB113&gt;=Y113,"PASS",IF(AB113&gt;=X113,"MARGINAL","FAIL")))</f>
        <v>FAIL</v>
      </c>
      <c r="AE113" s="35"/>
    </row>
    <row r="114" customFormat="false" ht="15" hidden="false" customHeight="false" outlineLevel="0" collapsed="false">
      <c r="A114" s="27" t="s">
        <v>714</v>
      </c>
      <c r="B114" s="27" t="s">
        <v>202</v>
      </c>
      <c r="C114" s="27" t="s">
        <v>80</v>
      </c>
      <c r="D114" s="27" t="s">
        <v>477</v>
      </c>
      <c r="E114" s="27" t="s">
        <v>506</v>
      </c>
      <c r="F114" s="27" t="n">
        <v>3</v>
      </c>
      <c r="G114" s="27" t="n">
        <v>2</v>
      </c>
      <c r="H114" s="52" t="n">
        <v>1888</v>
      </c>
      <c r="I114" s="13" t="n">
        <v>1979</v>
      </c>
      <c r="J114" s="19" t="n">
        <v>644000</v>
      </c>
      <c r="K114" s="13" t="n">
        <v>65</v>
      </c>
      <c r="L114" s="27" t="s">
        <v>715</v>
      </c>
      <c r="M114" s="19" t="n">
        <v>579500</v>
      </c>
      <c r="N114" s="19" t="n">
        <v>160386</v>
      </c>
      <c r="O114" s="27" t="s">
        <v>448</v>
      </c>
      <c r="P114" s="27" t="s">
        <v>154</v>
      </c>
      <c r="Q114" s="27" t="s">
        <v>145</v>
      </c>
      <c r="R114" s="27" t="s">
        <v>69</v>
      </c>
      <c r="S114" s="27" t="s">
        <v>527</v>
      </c>
      <c r="T114" s="28" t="n">
        <f aca="false">Assumptions!$C$15</f>
        <v>0.25</v>
      </c>
      <c r="U114" s="21" t="n">
        <f aca="false">J114*(1-T114)</f>
        <v>483000</v>
      </c>
      <c r="V114" s="29" t="n">
        <f aca="false">IF((1-T114)&gt;0.75,Assumptions!$C$11,IF((1-T114)&gt;0.7,Assumptions!$C$12,Assumptions!$C$13))</f>
        <v>0.0725</v>
      </c>
      <c r="W114" s="21" t="n">
        <f aca="false">PMT(V114/12,Assumptions!$C$14,-U114)+J114*INDEX(Assumptions!$C$28:$C$34,MATCH(C114,Assumptions!$B$28:$B$34,0))/12+(INDEX(Assumptions!$D$28:$D$34,MATCH(C114,Assumptions!$B$28:$B$34,0))+INDEX(Assumptions!$C$22:$C$25,MATCH(R114,Assumptions!$B$22:$B$25,0)))/12</f>
        <v>4766.57809933808</v>
      </c>
      <c r="X114" s="21" t="n">
        <f aca="false">W114*12*$B$18/Assumptions!$C$18</f>
        <v>71498.6714900711</v>
      </c>
      <c r="Y114" s="21" t="n">
        <f aca="false">W114*12*$B$19/Assumptions!$C$18</f>
        <v>89373.3393625889</v>
      </c>
      <c r="Z114" s="21" t="n">
        <f aca="false">J114*(T114+Assumptions!$C$16)</f>
        <v>186760</v>
      </c>
      <c r="AA114" s="53" t="n">
        <f aca="false">IF(ISNUMBER(F114),F114,IF(H114&gt;=2000,4,3))</f>
        <v>3</v>
      </c>
      <c r="AB114" s="21" t="n">
        <f aca="false">IFERROR(INDEX($E$18:$H$25,MATCH(D114,$D$18:$D$25,0),1+IF(AA114&gt;=4,2,0)+IF(Q114="Y",1,0)),0)</f>
        <v>58000</v>
      </c>
      <c r="AC114" s="30" t="n">
        <f aca="false">IFERROR(AB114/X114,0)</f>
        <v>0.811203883809986</v>
      </c>
      <c r="AD114" s="4" t="str">
        <f aca="false">IF(ISNUMBER(SEARCH("Mobile",E114)),"EXCLUDED",IF(AB114&gt;=Y114,"PASS",IF(AB114&gt;=X114,"MARGINAL","FAIL")))</f>
        <v>FAIL</v>
      </c>
      <c r="AE114" s="26"/>
    </row>
    <row r="115" customFormat="false" ht="15" hidden="false" customHeight="false" outlineLevel="0" collapsed="false">
      <c r="A115" s="36" t="s">
        <v>716</v>
      </c>
      <c r="B115" s="36" t="s">
        <v>231</v>
      </c>
      <c r="C115" s="36" t="s">
        <v>82</v>
      </c>
      <c r="D115" s="36" t="s">
        <v>482</v>
      </c>
      <c r="E115" s="36" t="s">
        <v>506</v>
      </c>
      <c r="F115" s="36" t="n">
        <v>3</v>
      </c>
      <c r="G115" s="36" t="n">
        <v>1.5</v>
      </c>
      <c r="H115" s="55" t="n">
        <v>1118</v>
      </c>
      <c r="I115" s="34" t="n">
        <v>1955</v>
      </c>
      <c r="J115" s="37" t="n">
        <v>499000</v>
      </c>
      <c r="K115" s="34" t="n">
        <v>86</v>
      </c>
      <c r="L115" s="36" t="s">
        <v>717</v>
      </c>
      <c r="M115" s="37" t="n">
        <v>367500</v>
      </c>
      <c r="N115" s="37" t="n">
        <v>205779</v>
      </c>
      <c r="O115" s="36" t="s">
        <v>453</v>
      </c>
      <c r="P115" s="36" t="s">
        <v>154</v>
      </c>
      <c r="Q115" s="36" t="s">
        <v>145</v>
      </c>
      <c r="R115" s="36" t="s">
        <v>69</v>
      </c>
      <c r="S115" s="36" t="s">
        <v>633</v>
      </c>
      <c r="T115" s="39" t="n">
        <f aca="false">Assumptions!$C$15</f>
        <v>0.25</v>
      </c>
      <c r="U115" s="40" t="n">
        <f aca="false">J115*(1-T115)</f>
        <v>374250</v>
      </c>
      <c r="V115" s="41" t="n">
        <f aca="false">IF((1-T115)&gt;0.75,Assumptions!$C$11,IF((1-T115)&gt;0.7,Assumptions!$C$12,Assumptions!$C$13))</f>
        <v>0.0725</v>
      </c>
      <c r="W115" s="40" t="n">
        <f aca="false">PMT(V115/12,Assumptions!$C$14,-U115)+J115*INDEX(Assumptions!$C$28:$C$34,MATCH(C115,Assumptions!$B$28:$B$34,0))/12+(INDEX(Assumptions!$D$28:$D$34,MATCH(C115,Assumptions!$B$28:$B$34,0))+INDEX(Assumptions!$C$22:$C$25,MATCH(R115,Assumptions!$B$22:$B$25,0)))/12</f>
        <v>3781.08639477696</v>
      </c>
      <c r="X115" s="40" t="n">
        <f aca="false">W115*12*$B$18/Assumptions!$C$18</f>
        <v>56716.2959216545</v>
      </c>
      <c r="Y115" s="40" t="n">
        <f aca="false">W115*12*$B$19/Assumptions!$C$18</f>
        <v>70895.3699020681</v>
      </c>
      <c r="Z115" s="40" t="n">
        <f aca="false">J115*(T115+Assumptions!$C$16)</f>
        <v>144710</v>
      </c>
      <c r="AA115" s="56" t="n">
        <f aca="false">IF(ISNUMBER(F115),F115,IF(H115&gt;=2000,4,3))</f>
        <v>3</v>
      </c>
      <c r="AB115" s="40" t="n">
        <f aca="false">IFERROR(INDEX($E$18:$H$25,MATCH(D115,$D$18:$D$25,0),1+IF(AA115&gt;=4,2,0)+IF(Q115="Y",1,0)),0)</f>
        <v>46000</v>
      </c>
      <c r="AC115" s="42" t="n">
        <f aca="false">IFERROR(AB115/X115,0)</f>
        <v>0.81105437603934</v>
      </c>
      <c r="AD115" s="57" t="str">
        <f aca="false">IF(ISNUMBER(SEARCH("Mobile",E115)),"EXCLUDED",IF(AB115&gt;=Y115,"PASS",IF(AB115&gt;=X115,"MARGINAL","FAIL")))</f>
        <v>FAIL</v>
      </c>
      <c r="AE115" s="35"/>
    </row>
    <row r="116" customFormat="false" ht="23.85" hidden="false" customHeight="false" outlineLevel="0" collapsed="false">
      <c r="A116" s="27" t="s">
        <v>718</v>
      </c>
      <c r="B116" s="27" t="s">
        <v>239</v>
      </c>
      <c r="C116" s="27" t="s">
        <v>18</v>
      </c>
      <c r="D116" s="27" t="s">
        <v>484</v>
      </c>
      <c r="E116" s="27" t="s">
        <v>552</v>
      </c>
      <c r="F116" s="27"/>
      <c r="G116" s="27"/>
      <c r="H116" s="52" t="n">
        <v>2174</v>
      </c>
      <c r="I116" s="13" t="n">
        <v>1995</v>
      </c>
      <c r="J116" s="19" t="n">
        <v>549000</v>
      </c>
      <c r="K116" s="13" t="n">
        <v>19</v>
      </c>
      <c r="L116" s="27"/>
      <c r="M116" s="19"/>
      <c r="N116" s="19" t="n">
        <v>375562</v>
      </c>
      <c r="O116" s="27" t="s">
        <v>453</v>
      </c>
      <c r="P116" s="27" t="s">
        <v>154</v>
      </c>
      <c r="Q116" s="27" t="s">
        <v>154</v>
      </c>
      <c r="R116" s="27" t="s">
        <v>75</v>
      </c>
      <c r="S116" s="27" t="s">
        <v>520</v>
      </c>
      <c r="T116" s="28" t="n">
        <f aca="false">Assumptions!$C$15</f>
        <v>0.25</v>
      </c>
      <c r="U116" s="21" t="n">
        <f aca="false">J116*(1-T116)</f>
        <v>411750</v>
      </c>
      <c r="V116" s="29" t="n">
        <f aca="false">IF((1-T116)&gt;0.75,Assumptions!$C$11,IF((1-T116)&gt;0.7,Assumptions!$C$12,Assumptions!$C$13))</f>
        <v>0.0725</v>
      </c>
      <c r="W116" s="21" t="n">
        <f aca="false">PMT(V116/12,Assumptions!$C$14,-U116)+J116*INDEX(Assumptions!$C$28:$C$34,MATCH(C116,Assumptions!$B$28:$B$34,0))/12+(INDEX(Assumptions!$D$28:$D$34,MATCH(C116,Assumptions!$B$28:$B$34,0))+INDEX(Assumptions!$C$22:$C$25,MATCH(R116,Assumptions!$B$22:$B$25,0)))/12</f>
        <v>4290.86083313137</v>
      </c>
      <c r="X116" s="21" t="n">
        <f aca="false">W116*12*$B$18/Assumptions!$C$18</f>
        <v>64362.9124969705</v>
      </c>
      <c r="Y116" s="21" t="n">
        <f aca="false">W116*12*$B$19/Assumptions!$C$18</f>
        <v>80453.6406212132</v>
      </c>
      <c r="Z116" s="21" t="n">
        <f aca="false">J116*(T116+Assumptions!$C$16)</f>
        <v>159210</v>
      </c>
      <c r="AA116" s="53" t="n">
        <f aca="false">IF(ISNUMBER(F116),F116,IF(H116&gt;=2000,4,3))</f>
        <v>4</v>
      </c>
      <c r="AB116" s="21" t="n">
        <f aca="false">IFERROR(INDEX($E$18:$H$25,MATCH(D116,$D$18:$D$25,0),1+IF(AA116&gt;=4,2,0)+IF(Q116="Y",1,0)),0)</f>
        <v>52000</v>
      </c>
      <c r="AC116" s="30" t="n">
        <f aca="false">IFERROR(AB116/X116,0)</f>
        <v>0.807918690790252</v>
      </c>
      <c r="AD116" s="4" t="str">
        <f aca="false">IF(ISNUMBER(SEARCH("Mobile",E116)),"EXCLUDED",IF(AB116&gt;=Y116,"PASS",IF(AB116&gt;=X116,"MARGINAL","FAIL")))</f>
        <v>FAIL</v>
      </c>
      <c r="AE116" s="26" t="s">
        <v>546</v>
      </c>
    </row>
    <row r="117" customFormat="false" ht="15" hidden="false" customHeight="false" outlineLevel="0" collapsed="false">
      <c r="A117" s="36" t="s">
        <v>719</v>
      </c>
      <c r="B117" s="36" t="s">
        <v>514</v>
      </c>
      <c r="C117" s="36" t="s">
        <v>82</v>
      </c>
      <c r="D117" s="36" t="s">
        <v>481</v>
      </c>
      <c r="E117" s="36" t="s">
        <v>506</v>
      </c>
      <c r="F117" s="36" t="n">
        <v>4</v>
      </c>
      <c r="G117" s="36" t="n">
        <v>4</v>
      </c>
      <c r="H117" s="55" t="n">
        <v>1704</v>
      </c>
      <c r="I117" s="34" t="n">
        <v>1953</v>
      </c>
      <c r="J117" s="37" t="n">
        <v>529000</v>
      </c>
      <c r="K117" s="34" t="n">
        <v>38</v>
      </c>
      <c r="L117" s="36" t="s">
        <v>720</v>
      </c>
      <c r="M117" s="37" t="n">
        <v>216570</v>
      </c>
      <c r="N117" s="37" t="n">
        <v>459084</v>
      </c>
      <c r="O117" s="36" t="s">
        <v>453</v>
      </c>
      <c r="P117" s="36" t="s">
        <v>154</v>
      </c>
      <c r="Q117" s="36" t="s">
        <v>154</v>
      </c>
      <c r="R117" s="36" t="s">
        <v>69</v>
      </c>
      <c r="S117" s="36" t="s">
        <v>516</v>
      </c>
      <c r="T117" s="39" t="n">
        <f aca="false">Assumptions!$C$15</f>
        <v>0.25</v>
      </c>
      <c r="U117" s="40" t="n">
        <f aca="false">J117*(1-T117)</f>
        <v>396750</v>
      </c>
      <c r="V117" s="41" t="n">
        <f aca="false">IF((1-T117)&gt;0.75,Assumptions!$C$11,IF((1-T117)&gt;0.7,Assumptions!$C$12,Assumptions!$C$13))</f>
        <v>0.0725</v>
      </c>
      <c r="W117" s="40" t="n">
        <f aca="false">PMT(V117/12,Assumptions!$C$14,-U117)+J117*INDEX(Assumptions!$C$28:$C$34,MATCH(C117,Assumptions!$B$28:$B$34,0))/12+(INDEX(Assumptions!$D$28:$D$34,MATCH(C117,Assumptions!$B$28:$B$34,0))+INDEX(Assumptions!$C$22:$C$25,MATCH(R117,Assumptions!$B$22:$B$25,0)))/12</f>
        <v>3968.32605778961</v>
      </c>
      <c r="X117" s="40" t="n">
        <f aca="false">W117*12*$B$18/Assumptions!$C$18</f>
        <v>59524.8908668441</v>
      </c>
      <c r="Y117" s="40" t="n">
        <f aca="false">W117*12*$B$19/Assumptions!$C$18</f>
        <v>74406.1135835552</v>
      </c>
      <c r="Z117" s="40" t="n">
        <f aca="false">J117*(T117+Assumptions!$C$16)</f>
        <v>153410</v>
      </c>
      <c r="AA117" s="56" t="n">
        <f aca="false">IF(ISNUMBER(F117),F117,IF(H117&gt;=2000,4,3))</f>
        <v>4</v>
      </c>
      <c r="AB117" s="40" t="n">
        <f aca="false">IFERROR(INDEX($E$18:$H$25,MATCH(D117,$D$18:$D$25,0),1+IF(AA117&gt;=4,2,0)+IF(Q117="Y",1,0)),0)</f>
        <v>48000</v>
      </c>
      <c r="AC117" s="42" t="n">
        <f aca="false">IFERROR(AB117/X117,0)</f>
        <v>0.806385350749739</v>
      </c>
      <c r="AD117" s="57" t="str">
        <f aca="false">IF(ISNUMBER(SEARCH("Mobile",E117)),"EXCLUDED",IF(AB117&gt;=Y117,"PASS",IF(AB117&gt;=X117,"MARGINAL","FAIL")))</f>
        <v>FAIL</v>
      </c>
      <c r="AE117" s="35"/>
    </row>
    <row r="118" customFormat="false" ht="15" hidden="false" customHeight="false" outlineLevel="0" collapsed="false">
      <c r="A118" s="27" t="s">
        <v>721</v>
      </c>
      <c r="B118" s="27" t="s">
        <v>514</v>
      </c>
      <c r="C118" s="27" t="s">
        <v>82</v>
      </c>
      <c r="D118" s="27" t="s">
        <v>481</v>
      </c>
      <c r="E118" s="27" t="s">
        <v>506</v>
      </c>
      <c r="F118" s="27" t="n">
        <v>3</v>
      </c>
      <c r="G118" s="27" t="n">
        <v>4</v>
      </c>
      <c r="H118" s="52" t="n">
        <v>2240</v>
      </c>
      <c r="I118" s="13" t="n">
        <v>1988</v>
      </c>
      <c r="J118" s="19" t="n">
        <v>450000</v>
      </c>
      <c r="K118" s="13" t="n">
        <v>32</v>
      </c>
      <c r="L118" s="27" t="s">
        <v>722</v>
      </c>
      <c r="M118" s="19" t="n">
        <v>380000</v>
      </c>
      <c r="N118" s="19" t="n">
        <v>380177</v>
      </c>
      <c r="O118" s="27" t="s">
        <v>463</v>
      </c>
      <c r="P118" s="27" t="s">
        <v>154</v>
      </c>
      <c r="Q118" s="27" t="s">
        <v>154</v>
      </c>
      <c r="R118" s="27" t="s">
        <v>69</v>
      </c>
      <c r="S118" s="27" t="s">
        <v>516</v>
      </c>
      <c r="T118" s="28" t="n">
        <f aca="false">Assumptions!$C$15</f>
        <v>0.25</v>
      </c>
      <c r="U118" s="21" t="n">
        <f aca="false">J118*(1-T118)</f>
        <v>337500</v>
      </c>
      <c r="V118" s="29" t="n">
        <f aca="false">IF((1-T118)&gt;0.75,Assumptions!$C$11,IF((1-T118)&gt;0.7,Assumptions!$C$12,Assumptions!$C$13))</f>
        <v>0.0725</v>
      </c>
      <c r="W118" s="21" t="n">
        <f aca="false">PMT(V118/12,Assumptions!$C$14,-U118)+J118*INDEX(Assumptions!$C$28:$C$34,MATCH(C118,Assumptions!$B$28:$B$34,0))/12+(INDEX(Assumptions!$D$28:$D$34,MATCH(C118,Assumptions!$B$28:$B$34,0))+INDEX(Assumptions!$C$22:$C$25,MATCH(R118,Assumptions!$B$22:$B$25,0)))/12</f>
        <v>3475.26161185631</v>
      </c>
      <c r="X118" s="21" t="n">
        <f aca="false">W118*12*$B$18/Assumptions!$C$18</f>
        <v>52128.9241778447</v>
      </c>
      <c r="Y118" s="21" t="n">
        <f aca="false">W118*12*$B$19/Assumptions!$C$18</f>
        <v>65161.1552223059</v>
      </c>
      <c r="Z118" s="21" t="n">
        <f aca="false">J118*(T118+Assumptions!$C$16)</f>
        <v>130500</v>
      </c>
      <c r="AA118" s="53" t="n">
        <f aca="false">IF(ISNUMBER(F118),F118,IF(H118&gt;=2000,4,3))</f>
        <v>3</v>
      </c>
      <c r="AB118" s="21" t="n">
        <f aca="false">IFERROR(INDEX($E$18:$H$25,MATCH(D118,$D$18:$D$25,0),1+IF(AA118&gt;=4,2,0)+IF(Q118="Y",1,0)),0)</f>
        <v>42000</v>
      </c>
      <c r="AC118" s="30" t="n">
        <f aca="false">IFERROR(AB118/X118,0)</f>
        <v>0.805694739770793</v>
      </c>
      <c r="AD118" s="4" t="str">
        <f aca="false">IF(ISNUMBER(SEARCH("Mobile",E118)),"EXCLUDED",IF(AB118&gt;=Y118,"PASS",IF(AB118&gt;=X118,"MARGINAL","FAIL")))</f>
        <v>FAIL</v>
      </c>
      <c r="AE118" s="26"/>
    </row>
    <row r="119" customFormat="false" ht="23.85" hidden="false" customHeight="false" outlineLevel="0" collapsed="false">
      <c r="A119" s="36" t="s">
        <v>723</v>
      </c>
      <c r="B119" s="36" t="s">
        <v>288</v>
      </c>
      <c r="C119" s="36" t="s">
        <v>18</v>
      </c>
      <c r="D119" s="36" t="s">
        <v>484</v>
      </c>
      <c r="E119" s="36" t="s">
        <v>506</v>
      </c>
      <c r="F119" s="36"/>
      <c r="G119" s="36" t="n">
        <v>2</v>
      </c>
      <c r="H119" s="55" t="n">
        <v>1308</v>
      </c>
      <c r="I119" s="34" t="n">
        <v>1973</v>
      </c>
      <c r="J119" s="37" t="n">
        <v>430000</v>
      </c>
      <c r="K119" s="34" t="n">
        <v>27</v>
      </c>
      <c r="L119" s="36" t="s">
        <v>625</v>
      </c>
      <c r="M119" s="37" t="n">
        <v>415000</v>
      </c>
      <c r="N119" s="37" t="n">
        <v>75564</v>
      </c>
      <c r="O119" s="36" t="s">
        <v>448</v>
      </c>
      <c r="P119" s="36" t="s">
        <v>154</v>
      </c>
      <c r="Q119" s="36" t="s">
        <v>154</v>
      </c>
      <c r="R119" s="36" t="s">
        <v>71</v>
      </c>
      <c r="S119" s="36" t="s">
        <v>520</v>
      </c>
      <c r="T119" s="39" t="n">
        <f aca="false">Assumptions!$C$15</f>
        <v>0.25</v>
      </c>
      <c r="U119" s="40" t="n">
        <f aca="false">J119*(1-T119)</f>
        <v>322500</v>
      </c>
      <c r="V119" s="41" t="n">
        <f aca="false">IF((1-T119)&gt;0.75,Assumptions!$C$11,IF((1-T119)&gt;0.7,Assumptions!$C$12,Assumptions!$C$13))</f>
        <v>0.0725</v>
      </c>
      <c r="W119" s="40" t="n">
        <f aca="false">PMT(V119/12,Assumptions!$C$14,-U119)+J119*INDEX(Assumptions!$C$28:$C$34,MATCH(C119,Assumptions!$B$28:$B$34,0))/12+(INDEX(Assumptions!$D$28:$D$34,MATCH(C119,Assumptions!$B$28:$B$34,0))+INDEX(Assumptions!$C$22:$C$25,MATCH(R119,Assumptions!$B$22:$B$25,0)))/12</f>
        <v>3731.68516984789</v>
      </c>
      <c r="X119" s="40" t="n">
        <f aca="false">W119*12*$B$18/Assumptions!$C$18</f>
        <v>55975.2775477183</v>
      </c>
      <c r="Y119" s="40" t="n">
        <f aca="false">W119*12*$B$19/Assumptions!$C$18</f>
        <v>69969.0969346479</v>
      </c>
      <c r="Z119" s="40" t="n">
        <f aca="false">J119*(T119+Assumptions!$C$16)</f>
        <v>124700</v>
      </c>
      <c r="AA119" s="56" t="n">
        <f aca="false">IF(ISNUMBER(F119),F119,IF(H119&gt;=2000,4,3))</f>
        <v>3</v>
      </c>
      <c r="AB119" s="40" t="n">
        <f aca="false">IFERROR(INDEX($E$18:$H$25,MATCH(D119,$D$18:$D$25,0),1+IF(AA119&gt;=4,2,0)+IF(Q119="Y",1,0)),0)</f>
        <v>45000</v>
      </c>
      <c r="AC119" s="42" t="n">
        <f aca="false">IFERROR(AB119/X119,0)</f>
        <v>0.803926339831688</v>
      </c>
      <c r="AD119" s="57" t="str">
        <f aca="false">IF(ISNUMBER(SEARCH("Mobile",E119)),"EXCLUDED",IF(AB119&gt;=Y119,"PASS",IF(AB119&gt;=X119,"MARGINAL","FAIL")))</f>
        <v>FAIL</v>
      </c>
      <c r="AE119" s="35" t="s">
        <v>546</v>
      </c>
    </row>
    <row r="120" customFormat="false" ht="15" hidden="false" customHeight="false" outlineLevel="0" collapsed="false">
      <c r="A120" s="27" t="s">
        <v>724</v>
      </c>
      <c r="B120" s="27" t="s">
        <v>661</v>
      </c>
      <c r="C120" s="27" t="s">
        <v>82</v>
      </c>
      <c r="D120" s="27" t="s">
        <v>482</v>
      </c>
      <c r="E120" s="27" t="s">
        <v>506</v>
      </c>
      <c r="F120" s="27" t="n">
        <v>5</v>
      </c>
      <c r="G120" s="27" t="n">
        <v>5</v>
      </c>
      <c r="H120" s="52" t="n">
        <v>2752</v>
      </c>
      <c r="I120" s="13" t="n">
        <v>1965</v>
      </c>
      <c r="J120" s="19" t="n">
        <v>425000</v>
      </c>
      <c r="K120" s="13" t="n">
        <v>74</v>
      </c>
      <c r="L120" s="27" t="s">
        <v>725</v>
      </c>
      <c r="M120" s="19" t="n">
        <v>730000</v>
      </c>
      <c r="N120" s="19" t="n">
        <v>488745</v>
      </c>
      <c r="O120" s="27" t="s">
        <v>453</v>
      </c>
      <c r="P120" s="27" t="s">
        <v>154</v>
      </c>
      <c r="Q120" s="27" t="s">
        <v>154</v>
      </c>
      <c r="R120" s="27" t="s">
        <v>69</v>
      </c>
      <c r="S120" s="27" t="s">
        <v>516</v>
      </c>
      <c r="T120" s="28" t="n">
        <f aca="false">Assumptions!$C$15</f>
        <v>0.25</v>
      </c>
      <c r="U120" s="21" t="n">
        <f aca="false">J120*(1-T120)</f>
        <v>318750</v>
      </c>
      <c r="V120" s="29" t="n">
        <f aca="false">IF((1-T120)&gt;0.75,Assumptions!$C$11,IF((1-T120)&gt;0.7,Assumptions!$C$12,Assumptions!$C$13))</f>
        <v>0.0725</v>
      </c>
      <c r="W120" s="21" t="n">
        <f aca="false">PMT(V120/12,Assumptions!$C$14,-U120)+J120*INDEX(Assumptions!$C$28:$C$34,MATCH(C120,Assumptions!$B$28:$B$34,0))/12+(INDEX(Assumptions!$D$28:$D$34,MATCH(C120,Assumptions!$B$28:$B$34,0))+INDEX(Assumptions!$C$22:$C$25,MATCH(R120,Assumptions!$B$22:$B$25,0)))/12</f>
        <v>3319.22855934578</v>
      </c>
      <c r="X120" s="21" t="n">
        <f aca="false">W120*12*$B$18/Assumptions!$C$18</f>
        <v>49788.4283901867</v>
      </c>
      <c r="Y120" s="21" t="n">
        <f aca="false">W120*12*$B$19/Assumptions!$C$18</f>
        <v>62235.5354877333</v>
      </c>
      <c r="Z120" s="21" t="n">
        <f aca="false">J120*(T120+Assumptions!$C$16)</f>
        <v>123250</v>
      </c>
      <c r="AA120" s="53" t="n">
        <f aca="false">IF(ISNUMBER(F120),F120,IF(H120&gt;=2000,4,3))</f>
        <v>5</v>
      </c>
      <c r="AB120" s="21" t="n">
        <f aca="false">IFERROR(INDEX($E$18:$H$25,MATCH(D120,$D$18:$D$25,0),1+IF(AA120&gt;=4,2,0)+IF(Q120="Y",1,0)),0)</f>
        <v>40000</v>
      </c>
      <c r="AC120" s="30" t="n">
        <f aca="false">IFERROR(AB120/X120,0)</f>
        <v>0.803399530640417</v>
      </c>
      <c r="AD120" s="4" t="str">
        <f aca="false">IF(ISNUMBER(SEARCH("Mobile",E120)),"EXCLUDED",IF(AB120&gt;=Y120,"PASS",IF(AB120&gt;=X120,"MARGINAL","FAIL")))</f>
        <v>FAIL</v>
      </c>
      <c r="AE120" s="26"/>
    </row>
    <row r="121" customFormat="false" ht="23.85" hidden="false" customHeight="false" outlineLevel="0" collapsed="false">
      <c r="A121" s="36" t="s">
        <v>726</v>
      </c>
      <c r="B121" s="36" t="s">
        <v>239</v>
      </c>
      <c r="C121" s="36" t="s">
        <v>18</v>
      </c>
      <c r="D121" s="36" t="s">
        <v>484</v>
      </c>
      <c r="E121" s="36" t="s">
        <v>506</v>
      </c>
      <c r="F121" s="36"/>
      <c r="G121" s="36" t="n">
        <v>2</v>
      </c>
      <c r="H121" s="55" t="n">
        <v>2171</v>
      </c>
      <c r="I121" s="34" t="n">
        <v>1972</v>
      </c>
      <c r="J121" s="37" t="n">
        <v>569000</v>
      </c>
      <c r="K121" s="34" t="n">
        <v>131</v>
      </c>
      <c r="L121" s="36" t="s">
        <v>727</v>
      </c>
      <c r="M121" s="37" t="n">
        <v>105000</v>
      </c>
      <c r="N121" s="37" t="n">
        <v>597817</v>
      </c>
      <c r="O121" s="36" t="s">
        <v>515</v>
      </c>
      <c r="P121" s="36" t="s">
        <v>154</v>
      </c>
      <c r="Q121" s="36" t="s">
        <v>154</v>
      </c>
      <c r="R121" s="36" t="s">
        <v>69</v>
      </c>
      <c r="S121" s="36" t="s">
        <v>520</v>
      </c>
      <c r="T121" s="39" t="n">
        <f aca="false">Assumptions!$C$15</f>
        <v>0.25</v>
      </c>
      <c r="U121" s="40" t="n">
        <f aca="false">J121*(1-T121)</f>
        <v>426750</v>
      </c>
      <c r="V121" s="41" t="n">
        <f aca="false">IF((1-T121)&gt;0.75,Assumptions!$C$11,IF((1-T121)&gt;0.7,Assumptions!$C$12,Assumptions!$C$13))</f>
        <v>0.0725</v>
      </c>
      <c r="W121" s="40" t="n">
        <f aca="false">PMT(V121/12,Assumptions!$C$14,-U121)+J121*INDEX(Assumptions!$C$28:$C$34,MATCH(C121,Assumptions!$B$28:$B$34,0))/12+(INDEX(Assumptions!$D$28:$D$34,MATCH(C121,Assumptions!$B$28:$B$34,0))+INDEX(Assumptions!$C$22:$C$25,MATCH(R121,Assumptions!$B$22:$B$25,0)))/12</f>
        <v>4336.52060847313</v>
      </c>
      <c r="X121" s="40" t="n">
        <f aca="false">W121*12*$B$18/Assumptions!$C$18</f>
        <v>65047.809127097</v>
      </c>
      <c r="Y121" s="40" t="n">
        <f aca="false">W121*12*$B$19/Assumptions!$C$18</f>
        <v>81309.7614088712</v>
      </c>
      <c r="Z121" s="40" t="n">
        <f aca="false">J121*(T121+Assumptions!$C$16)</f>
        <v>165010</v>
      </c>
      <c r="AA121" s="56" t="n">
        <f aca="false">IF(ISNUMBER(F121),F121,IF(H121&gt;=2000,4,3))</f>
        <v>4</v>
      </c>
      <c r="AB121" s="40" t="n">
        <f aca="false">IFERROR(INDEX($E$18:$H$25,MATCH(D121,$D$18:$D$25,0),1+IF(AA121&gt;=4,2,0)+IF(Q121="Y",1,0)),0)</f>
        <v>52000</v>
      </c>
      <c r="AC121" s="42" t="n">
        <f aca="false">IFERROR(AB121/X121,0)</f>
        <v>0.79941201245375</v>
      </c>
      <c r="AD121" s="57" t="str">
        <f aca="false">IF(ISNUMBER(SEARCH("Mobile",E121)),"EXCLUDED",IF(AB121&gt;=Y121,"PASS",IF(AB121&gt;=X121,"MARGINAL","FAIL")))</f>
        <v>FAIL</v>
      </c>
      <c r="AE121" s="35" t="s">
        <v>546</v>
      </c>
    </row>
    <row r="122" customFormat="false" ht="23.85" hidden="false" customHeight="false" outlineLevel="0" collapsed="false">
      <c r="A122" s="27" t="s">
        <v>728</v>
      </c>
      <c r="B122" s="27" t="s">
        <v>629</v>
      </c>
      <c r="C122" s="27" t="s">
        <v>18</v>
      </c>
      <c r="D122" s="27" t="s">
        <v>484</v>
      </c>
      <c r="E122" s="27" t="s">
        <v>506</v>
      </c>
      <c r="F122" s="27"/>
      <c r="G122" s="27" t="n">
        <v>2</v>
      </c>
      <c r="H122" s="52" t="n">
        <v>1570</v>
      </c>
      <c r="I122" s="13" t="n">
        <v>1971</v>
      </c>
      <c r="J122" s="19" t="n">
        <v>479000</v>
      </c>
      <c r="K122" s="13" t="n">
        <v>24</v>
      </c>
      <c r="L122" s="27" t="s">
        <v>729</v>
      </c>
      <c r="M122" s="19" t="n">
        <v>59900</v>
      </c>
      <c r="N122" s="19" t="n">
        <v>16238</v>
      </c>
      <c r="O122" s="27" t="s">
        <v>453</v>
      </c>
      <c r="P122" s="27" t="s">
        <v>154</v>
      </c>
      <c r="Q122" s="27" t="s">
        <v>154</v>
      </c>
      <c r="R122" s="27" t="s">
        <v>69</v>
      </c>
      <c r="S122" s="27" t="s">
        <v>532</v>
      </c>
      <c r="T122" s="28" t="n">
        <f aca="false">Assumptions!$C$15</f>
        <v>0.25</v>
      </c>
      <c r="U122" s="21" t="n">
        <f aca="false">J122*(1-T122)</f>
        <v>359250</v>
      </c>
      <c r="V122" s="29" t="n">
        <f aca="false">IF((1-T122)&gt;0.75,Assumptions!$C$11,IF((1-T122)&gt;0.7,Assumptions!$C$12,Assumptions!$C$13))</f>
        <v>0.0725</v>
      </c>
      <c r="W122" s="21" t="n">
        <f aca="false">PMT(V122/12,Assumptions!$C$14,-U122)+J122*INDEX(Assumptions!$C$28:$C$34,MATCH(C122,Assumptions!$B$28:$B$34,0))/12+(INDEX(Assumptions!$D$28:$D$34,MATCH(C122,Assumptions!$B$28:$B$34,0))+INDEX(Assumptions!$C$22:$C$25,MATCH(R122,Assumptions!$B$22:$B$25,0)))/12</f>
        <v>3756.0516194352</v>
      </c>
      <c r="X122" s="21" t="n">
        <f aca="false">W122*12*$B$18/Assumptions!$C$18</f>
        <v>56340.774291528</v>
      </c>
      <c r="Y122" s="21" t="n">
        <f aca="false">W122*12*$B$19/Assumptions!$C$18</f>
        <v>70425.9678644101</v>
      </c>
      <c r="Z122" s="21" t="n">
        <f aca="false">J122*(T122+Assumptions!$C$16)</f>
        <v>138910</v>
      </c>
      <c r="AA122" s="53" t="n">
        <f aca="false">IF(ISNUMBER(F122),F122,IF(H122&gt;=2000,4,3))</f>
        <v>3</v>
      </c>
      <c r="AB122" s="21" t="n">
        <f aca="false">IFERROR(INDEX($E$18:$H$25,MATCH(D122,$D$18:$D$25,0),1+IF(AA122&gt;=4,2,0)+IF(Q122="Y",1,0)),0)</f>
        <v>45000</v>
      </c>
      <c r="AC122" s="30" t="n">
        <f aca="false">IFERROR(AB122/X122,0)</f>
        <v>0.798711067887589</v>
      </c>
      <c r="AD122" s="4" t="str">
        <f aca="false">IF(ISNUMBER(SEARCH("Mobile",E122)),"EXCLUDED",IF(AB122&gt;=Y122,"PASS",IF(AB122&gt;=X122,"MARGINAL","FAIL")))</f>
        <v>FAIL</v>
      </c>
      <c r="AE122" s="26" t="s">
        <v>546</v>
      </c>
    </row>
    <row r="123" customFormat="false" ht="15" hidden="false" customHeight="false" outlineLevel="0" collapsed="false">
      <c r="A123" s="36" t="s">
        <v>730</v>
      </c>
      <c r="B123" s="36" t="s">
        <v>700</v>
      </c>
      <c r="C123" s="36" t="s">
        <v>87</v>
      </c>
      <c r="D123" s="36" t="s">
        <v>486</v>
      </c>
      <c r="E123" s="36" t="s">
        <v>506</v>
      </c>
      <c r="F123" s="36" t="n">
        <v>3</v>
      </c>
      <c r="G123" s="36" t="n">
        <v>2</v>
      </c>
      <c r="H123" s="55" t="n">
        <v>1880</v>
      </c>
      <c r="I123" s="34" t="n">
        <v>1987</v>
      </c>
      <c r="J123" s="37" t="n">
        <v>394500</v>
      </c>
      <c r="K123" s="34" t="n">
        <v>579</v>
      </c>
      <c r="L123" s="36" t="s">
        <v>731</v>
      </c>
      <c r="M123" s="37" t="n">
        <v>14800</v>
      </c>
      <c r="N123" s="37" t="n">
        <v>382174</v>
      </c>
      <c r="O123" s="36" t="s">
        <v>515</v>
      </c>
      <c r="P123" s="36" t="s">
        <v>154</v>
      </c>
      <c r="Q123" s="36" t="s">
        <v>154</v>
      </c>
      <c r="R123" s="36" t="s">
        <v>71</v>
      </c>
      <c r="S123" s="36" t="s">
        <v>702</v>
      </c>
      <c r="T123" s="39" t="n">
        <f aca="false">Assumptions!$C$15</f>
        <v>0.25</v>
      </c>
      <c r="U123" s="40" t="n">
        <f aca="false">J123*(1-T123)</f>
        <v>295875</v>
      </c>
      <c r="V123" s="41" t="n">
        <f aca="false">IF((1-T123)&gt;0.75,Assumptions!$C$11,IF((1-T123)&gt;0.7,Assumptions!$C$12,Assumptions!$C$13))</f>
        <v>0.0725</v>
      </c>
      <c r="W123" s="40" t="n">
        <f aca="false">PMT(V123/12,Assumptions!$C$14,-U123)+J123*INDEX(Assumptions!$C$28:$C$34,MATCH(C123,Assumptions!$B$28:$B$34,0))/12+(INDEX(Assumptions!$D$28:$D$34,MATCH(C123,Assumptions!$B$28:$B$34,0))+INDEX(Assumptions!$C$22:$C$25,MATCH(R123,Assumptions!$B$22:$B$25,0)))/12</f>
        <v>3519.15990194959</v>
      </c>
      <c r="X123" s="40" t="n">
        <f aca="false">W123*12*$B$18/Assumptions!$C$18</f>
        <v>52787.3985292439</v>
      </c>
      <c r="Y123" s="40" t="n">
        <f aca="false">W123*12*$B$19/Assumptions!$C$18</f>
        <v>65984.2481615548</v>
      </c>
      <c r="Z123" s="40" t="n">
        <f aca="false">J123*(T123+Assumptions!$C$16)</f>
        <v>114405</v>
      </c>
      <c r="AA123" s="56" t="n">
        <f aca="false">IF(ISNUMBER(F123),F123,IF(H123&gt;=2000,4,3))</f>
        <v>3</v>
      </c>
      <c r="AB123" s="40" t="n">
        <f aca="false">IFERROR(INDEX($E$18:$H$25,MATCH(D123,$D$18:$D$25,0),1+IF(AA123&gt;=4,2,0)+IF(Q123="Y",1,0)),0)</f>
        <v>42000</v>
      </c>
      <c r="AC123" s="42" t="n">
        <f aca="false">IFERROR(AB123/X123,0)</f>
        <v>0.795644437312672</v>
      </c>
      <c r="AD123" s="57" t="str">
        <f aca="false">IF(ISNUMBER(SEARCH("Mobile",E123)),"EXCLUDED",IF(AB123&gt;=Y123,"PASS",IF(AB123&gt;=X123,"MARGINAL","FAIL")))</f>
        <v>FAIL</v>
      </c>
      <c r="AE123" s="35"/>
    </row>
    <row r="124" customFormat="false" ht="15" hidden="false" customHeight="false" outlineLevel="0" collapsed="false">
      <c r="A124" s="27" t="s">
        <v>732</v>
      </c>
      <c r="B124" s="27" t="s">
        <v>644</v>
      </c>
      <c r="C124" s="27" t="s">
        <v>80</v>
      </c>
      <c r="D124" s="27" t="s">
        <v>480</v>
      </c>
      <c r="E124" s="27" t="s">
        <v>506</v>
      </c>
      <c r="F124" s="27" t="n">
        <v>4</v>
      </c>
      <c r="G124" s="27" t="n">
        <v>3</v>
      </c>
      <c r="H124" s="52" t="n">
        <v>1892</v>
      </c>
      <c r="I124" s="13" t="n">
        <v>1948</v>
      </c>
      <c r="J124" s="19" t="n">
        <v>449000</v>
      </c>
      <c r="K124" s="13" t="n">
        <v>76</v>
      </c>
      <c r="L124" s="27" t="s">
        <v>733</v>
      </c>
      <c r="M124" s="19" t="n">
        <v>440000</v>
      </c>
      <c r="N124" s="19" t="n">
        <v>427625</v>
      </c>
      <c r="O124" s="27" t="s">
        <v>515</v>
      </c>
      <c r="P124" s="27" t="s">
        <v>154</v>
      </c>
      <c r="Q124" s="27" t="s">
        <v>154</v>
      </c>
      <c r="R124" s="27" t="s">
        <v>69</v>
      </c>
      <c r="S124" s="27" t="s">
        <v>597</v>
      </c>
      <c r="T124" s="28" t="n">
        <f aca="false">Assumptions!$C$15</f>
        <v>0.25</v>
      </c>
      <c r="U124" s="21" t="n">
        <f aca="false">J124*(1-T124)</f>
        <v>336750</v>
      </c>
      <c r="V124" s="29" t="n">
        <f aca="false">IF((1-T124)&gt;0.75,Assumptions!$C$11,IF((1-T124)&gt;0.7,Assumptions!$C$12,Assumptions!$C$13))</f>
        <v>0.0725</v>
      </c>
      <c r="W124" s="21" t="n">
        <f aca="false">PMT(V124/12,Assumptions!$C$14,-U124)+J124*INDEX(Assumptions!$C$28:$C$34,MATCH(C124,Assumptions!$B$28:$B$34,0))/12+(INDEX(Assumptions!$D$28:$D$34,MATCH(C124,Assumptions!$B$28:$B$34,0))+INDEX(Assumptions!$C$22:$C$25,MATCH(R124,Assumptions!$B$22:$B$25,0)))/12</f>
        <v>3525.14528975589</v>
      </c>
      <c r="X124" s="21" t="n">
        <f aca="false">W124*12*$B$18/Assumptions!$C$18</f>
        <v>52877.1793463384</v>
      </c>
      <c r="Y124" s="21" t="n">
        <f aca="false">W124*12*$B$19/Assumptions!$C$18</f>
        <v>66096.474182923</v>
      </c>
      <c r="Z124" s="21" t="n">
        <f aca="false">J124*(T124+Assumptions!$C$16)</f>
        <v>130210</v>
      </c>
      <c r="AA124" s="53" t="n">
        <f aca="false">IF(ISNUMBER(F124),F124,IF(H124&gt;=2000,4,3))</f>
        <v>4</v>
      </c>
      <c r="AB124" s="21" t="n">
        <f aca="false">IFERROR(INDEX($E$18:$H$25,MATCH(D124,$D$18:$D$25,0),1+IF(AA124&gt;=4,2,0)+IF(Q124="Y",1,0)),0)</f>
        <v>42000</v>
      </c>
      <c r="AC124" s="30" t="n">
        <f aca="false">IFERROR(AB124/X124,0)</f>
        <v>0.794293502777553</v>
      </c>
      <c r="AD124" s="4" t="str">
        <f aca="false">IF(ISNUMBER(SEARCH("Mobile",E124)),"EXCLUDED",IF(AB124&gt;=Y124,"PASS",IF(AB124&gt;=X124,"MARGINAL","FAIL")))</f>
        <v>FAIL</v>
      </c>
      <c r="AE124" s="26"/>
    </row>
    <row r="125" customFormat="false" ht="15" hidden="false" customHeight="false" outlineLevel="0" collapsed="false">
      <c r="A125" s="36" t="s">
        <v>734</v>
      </c>
      <c r="B125" s="36" t="s">
        <v>607</v>
      </c>
      <c r="C125" s="36" t="s">
        <v>80</v>
      </c>
      <c r="D125" s="36" t="s">
        <v>480</v>
      </c>
      <c r="E125" s="36" t="s">
        <v>506</v>
      </c>
      <c r="F125" s="36" t="n">
        <v>4</v>
      </c>
      <c r="G125" s="36" t="n">
        <v>2</v>
      </c>
      <c r="H125" s="55" t="n">
        <v>1685</v>
      </c>
      <c r="I125" s="34" t="n">
        <v>2001</v>
      </c>
      <c r="J125" s="37" t="n">
        <v>450000</v>
      </c>
      <c r="K125" s="34" t="n">
        <v>213</v>
      </c>
      <c r="L125" s="36" t="s">
        <v>735</v>
      </c>
      <c r="M125" s="37" t="n">
        <v>425000</v>
      </c>
      <c r="N125" s="37" t="n">
        <v>435471</v>
      </c>
      <c r="O125" s="36" t="s">
        <v>458</v>
      </c>
      <c r="P125" s="36" t="s">
        <v>154</v>
      </c>
      <c r="Q125" s="36" t="s">
        <v>154</v>
      </c>
      <c r="R125" s="36" t="s">
        <v>69</v>
      </c>
      <c r="S125" s="36" t="s">
        <v>597</v>
      </c>
      <c r="T125" s="39" t="n">
        <f aca="false">Assumptions!$C$15</f>
        <v>0.25</v>
      </c>
      <c r="U125" s="40" t="n">
        <f aca="false">J125*(1-T125)</f>
        <v>337500</v>
      </c>
      <c r="V125" s="41" t="n">
        <f aca="false">IF((1-T125)&gt;0.75,Assumptions!$C$11,IF((1-T125)&gt;0.7,Assumptions!$C$12,Assumptions!$C$13))</f>
        <v>0.0725</v>
      </c>
      <c r="W125" s="40" t="n">
        <f aca="false">PMT(V125/12,Assumptions!$C$14,-U125)+J125*INDEX(Assumptions!$C$28:$C$34,MATCH(C125,Assumptions!$B$28:$B$34,0))/12+(INDEX(Assumptions!$D$28:$D$34,MATCH(C125,Assumptions!$B$28:$B$34,0))+INDEX(Assumptions!$C$22:$C$25,MATCH(R125,Assumptions!$B$22:$B$25,0)))/12</f>
        <v>3531.51161185631</v>
      </c>
      <c r="X125" s="40" t="n">
        <f aca="false">W125*12*$B$18/Assumptions!$C$18</f>
        <v>52972.6741778447</v>
      </c>
      <c r="Y125" s="40" t="n">
        <f aca="false">W125*12*$B$19/Assumptions!$C$18</f>
        <v>66215.8427223059</v>
      </c>
      <c r="Z125" s="40" t="n">
        <f aca="false">J125*(T125+Assumptions!$C$16)</f>
        <v>130500</v>
      </c>
      <c r="AA125" s="56" t="n">
        <f aca="false">IF(ISNUMBER(F125),F125,IF(H125&gt;=2000,4,3))</f>
        <v>4</v>
      </c>
      <c r="AB125" s="40" t="n">
        <f aca="false">IFERROR(INDEX($E$18:$H$25,MATCH(D125,$D$18:$D$25,0),1+IF(AA125&gt;=4,2,0)+IF(Q125="Y",1,0)),0)</f>
        <v>42000</v>
      </c>
      <c r="AC125" s="42" t="n">
        <f aca="false">IFERROR(AB125/X125,0)</f>
        <v>0.79286161500916</v>
      </c>
      <c r="AD125" s="57" t="str">
        <f aca="false">IF(ISNUMBER(SEARCH("Mobile",E125)),"EXCLUDED",IF(AB125&gt;=Y125,"PASS",IF(AB125&gt;=X125,"MARGINAL","FAIL")))</f>
        <v>FAIL</v>
      </c>
      <c r="AE125" s="35"/>
    </row>
    <row r="126" customFormat="false" ht="15" hidden="false" customHeight="false" outlineLevel="0" collapsed="false">
      <c r="A126" s="27" t="s">
        <v>736</v>
      </c>
      <c r="B126" s="27" t="s">
        <v>141</v>
      </c>
      <c r="C126" s="27" t="s">
        <v>80</v>
      </c>
      <c r="D126" s="27" t="s">
        <v>477</v>
      </c>
      <c r="E126" s="27" t="s">
        <v>506</v>
      </c>
      <c r="F126" s="27" t="n">
        <v>3</v>
      </c>
      <c r="G126" s="27" t="n">
        <v>2</v>
      </c>
      <c r="H126" s="52" t="n">
        <v>1854</v>
      </c>
      <c r="I126" s="13" t="n">
        <v>1986</v>
      </c>
      <c r="J126" s="19" t="n">
        <v>490000</v>
      </c>
      <c r="K126" s="13" t="n">
        <v>68</v>
      </c>
      <c r="L126" s="27" t="s">
        <v>737</v>
      </c>
      <c r="M126" s="19" t="n">
        <v>27500</v>
      </c>
      <c r="N126" s="19" t="n">
        <v>468855</v>
      </c>
      <c r="O126" s="27" t="s">
        <v>463</v>
      </c>
      <c r="P126" s="27" t="s">
        <v>154</v>
      </c>
      <c r="Q126" s="27" t="s">
        <v>154</v>
      </c>
      <c r="R126" s="27" t="s">
        <v>69</v>
      </c>
      <c r="S126" s="27" t="s">
        <v>527</v>
      </c>
      <c r="T126" s="28" t="n">
        <f aca="false">Assumptions!$C$15</f>
        <v>0.25</v>
      </c>
      <c r="U126" s="21" t="n">
        <f aca="false">J126*(1-T126)</f>
        <v>367500</v>
      </c>
      <c r="V126" s="29" t="n">
        <f aca="false">IF((1-T126)&gt;0.75,Assumptions!$C$11,IF((1-T126)&gt;0.7,Assumptions!$C$12,Assumptions!$C$13))</f>
        <v>0.0725</v>
      </c>
      <c r="W126" s="21" t="n">
        <f aca="false">PMT(V126/12,Assumptions!$C$14,-U126)+J126*INDEX(Assumptions!$C$28:$C$34,MATCH(C126,Assumptions!$B$28:$B$34,0))/12+(INDEX(Assumptions!$D$28:$D$34,MATCH(C126,Assumptions!$B$28:$B$34,0))+INDEX(Assumptions!$C$22:$C$25,MATCH(R126,Assumptions!$B$22:$B$25,0)))/12</f>
        <v>3786.16449587317</v>
      </c>
      <c r="X126" s="21" t="n">
        <f aca="false">W126*12*$B$18/Assumptions!$C$18</f>
        <v>56792.4674380976</v>
      </c>
      <c r="Y126" s="21" t="n">
        <f aca="false">W126*12*$B$19/Assumptions!$C$18</f>
        <v>70990.584297622</v>
      </c>
      <c r="Z126" s="21" t="n">
        <f aca="false">J126*(T126+Assumptions!$C$16)</f>
        <v>142100</v>
      </c>
      <c r="AA126" s="53" t="n">
        <f aca="false">IF(ISNUMBER(F126),F126,IF(H126&gt;=2000,4,3))</f>
        <v>3</v>
      </c>
      <c r="AB126" s="21" t="n">
        <f aca="false">IFERROR(INDEX($E$18:$H$25,MATCH(D126,$D$18:$D$25,0),1+IF(AA126&gt;=4,2,0)+IF(Q126="Y",1,0)),0)</f>
        <v>45000</v>
      </c>
      <c r="AC126" s="30" t="n">
        <f aca="false">IFERROR(AB126/X126,0)</f>
        <v>0.792358600179662</v>
      </c>
      <c r="AD126" s="4" t="str">
        <f aca="false">IF(ISNUMBER(SEARCH("Mobile",E126)),"EXCLUDED",IF(AB126&gt;=Y126,"PASS",IF(AB126&gt;=X126,"MARGINAL","FAIL")))</f>
        <v>FAIL</v>
      </c>
      <c r="AE126" s="26"/>
    </row>
    <row r="127" customFormat="false" ht="23.85" hidden="false" customHeight="false" outlineLevel="0" collapsed="false">
      <c r="A127" s="36" t="s">
        <v>738</v>
      </c>
      <c r="B127" s="36" t="s">
        <v>310</v>
      </c>
      <c r="C127" s="36" t="s">
        <v>18</v>
      </c>
      <c r="D127" s="36" t="s">
        <v>484</v>
      </c>
      <c r="E127" s="36" t="s">
        <v>506</v>
      </c>
      <c r="F127" s="36"/>
      <c r="G127" s="36" t="n">
        <v>2.5</v>
      </c>
      <c r="H127" s="55" t="n">
        <v>1639</v>
      </c>
      <c r="I127" s="34" t="n">
        <v>1985</v>
      </c>
      <c r="J127" s="37" t="n">
        <v>485000</v>
      </c>
      <c r="K127" s="34" t="n">
        <v>23</v>
      </c>
      <c r="L127" s="36" t="s">
        <v>739</v>
      </c>
      <c r="M127" s="37" t="n">
        <v>516700</v>
      </c>
      <c r="N127" s="37" t="n">
        <v>501255</v>
      </c>
      <c r="O127" s="36" t="s">
        <v>453</v>
      </c>
      <c r="P127" s="36" t="s">
        <v>154</v>
      </c>
      <c r="Q127" s="36" t="s">
        <v>154</v>
      </c>
      <c r="R127" s="36" t="s">
        <v>69</v>
      </c>
      <c r="S127" s="36" t="s">
        <v>520</v>
      </c>
      <c r="T127" s="39" t="n">
        <f aca="false">Assumptions!$C$15</f>
        <v>0.25</v>
      </c>
      <c r="U127" s="40" t="n">
        <f aca="false">J127*(1-T127)</f>
        <v>363750</v>
      </c>
      <c r="V127" s="41" t="n">
        <f aca="false">IF((1-T127)&gt;0.75,Assumptions!$C$11,IF((1-T127)&gt;0.7,Assumptions!$C$12,Assumptions!$C$13))</f>
        <v>0.0725</v>
      </c>
      <c r="W127" s="40" t="n">
        <f aca="false">PMT(V127/12,Assumptions!$C$14,-U127)+J127*INDEX(Assumptions!$C$28:$C$34,MATCH(C127,Assumptions!$B$28:$B$34,0))/12+(INDEX(Assumptions!$D$28:$D$34,MATCH(C127,Assumptions!$B$28:$B$34,0))+INDEX(Assumptions!$C$22:$C$25,MATCH(R127,Assumptions!$B$22:$B$25,0)))/12</f>
        <v>3794.74955203773</v>
      </c>
      <c r="X127" s="40" t="n">
        <f aca="false">W127*12*$B$18/Assumptions!$C$18</f>
        <v>56921.243280566</v>
      </c>
      <c r="Y127" s="40" t="n">
        <f aca="false">W127*12*$B$19/Assumptions!$C$18</f>
        <v>71151.5541007075</v>
      </c>
      <c r="Z127" s="40" t="n">
        <f aca="false">J127*(T127+Assumptions!$C$16)</f>
        <v>140650</v>
      </c>
      <c r="AA127" s="56" t="n">
        <f aca="false">IF(ISNUMBER(F127),F127,IF(H127&gt;=2000,4,3))</f>
        <v>3</v>
      </c>
      <c r="AB127" s="40" t="n">
        <f aca="false">IFERROR(INDEX($E$18:$H$25,MATCH(D127,$D$18:$D$25,0),1+IF(AA127&gt;=4,2,0)+IF(Q127="Y",1,0)),0)</f>
        <v>45000</v>
      </c>
      <c r="AC127" s="42" t="n">
        <f aca="false">IFERROR(AB127/X127,0)</f>
        <v>0.79056600675769</v>
      </c>
      <c r="AD127" s="57" t="str">
        <f aca="false">IF(ISNUMBER(SEARCH("Mobile",E127)),"EXCLUDED",IF(AB127&gt;=Y127,"PASS",IF(AB127&gt;=X127,"MARGINAL","FAIL")))</f>
        <v>FAIL</v>
      </c>
      <c r="AE127" s="35" t="s">
        <v>546</v>
      </c>
    </row>
    <row r="128" customFormat="false" ht="15" hidden="false" customHeight="false" outlineLevel="0" collapsed="false">
      <c r="A128" s="27" t="s">
        <v>740</v>
      </c>
      <c r="B128" s="27" t="s">
        <v>141</v>
      </c>
      <c r="C128" s="27" t="s">
        <v>80</v>
      </c>
      <c r="D128" s="27" t="s">
        <v>477</v>
      </c>
      <c r="E128" s="27" t="s">
        <v>506</v>
      </c>
      <c r="F128" s="27" t="n">
        <v>3</v>
      </c>
      <c r="G128" s="27" t="n">
        <v>2.5</v>
      </c>
      <c r="H128" s="52" t="n">
        <v>1768</v>
      </c>
      <c r="I128" s="13" t="n">
        <v>1966</v>
      </c>
      <c r="J128" s="19" t="n">
        <v>620000</v>
      </c>
      <c r="K128" s="13" t="n">
        <v>221</v>
      </c>
      <c r="L128" s="27" t="s">
        <v>741</v>
      </c>
      <c r="M128" s="19" t="n">
        <v>373000</v>
      </c>
      <c r="N128" s="19" t="n">
        <v>637104</v>
      </c>
      <c r="O128" s="27" t="s">
        <v>448</v>
      </c>
      <c r="P128" s="27" t="s">
        <v>154</v>
      </c>
      <c r="Q128" s="27" t="s">
        <v>145</v>
      </c>
      <c r="R128" s="27" t="s">
        <v>71</v>
      </c>
      <c r="S128" s="27" t="s">
        <v>527</v>
      </c>
      <c r="T128" s="28" t="n">
        <f aca="false">Assumptions!$C$15</f>
        <v>0.25</v>
      </c>
      <c r="U128" s="21" t="n">
        <f aca="false">J128*(1-T128)</f>
        <v>465000</v>
      </c>
      <c r="V128" s="29" t="n">
        <f aca="false">IF((1-T128)&gt;0.75,Assumptions!$C$11,IF((1-T128)&gt;0.7,Assumptions!$C$12,Assumptions!$C$13))</f>
        <v>0.0725</v>
      </c>
      <c r="W128" s="21" t="n">
        <f aca="false">PMT(V128/12,Assumptions!$C$14,-U128)+J128*INDEX(Assumptions!$C$28:$C$34,MATCH(C128,Assumptions!$B$28:$B$34,0))/12+(INDEX(Assumptions!$D$28:$D$34,MATCH(C128,Assumptions!$B$28:$B$34,0))+INDEX(Assumptions!$C$22:$C$25,MATCH(R128,Assumptions!$B$22:$B$25,0)))/12</f>
        <v>4905.45303559463</v>
      </c>
      <c r="X128" s="21" t="n">
        <f aca="false">W128*12*$B$18/Assumptions!$C$18</f>
        <v>73581.7955339194</v>
      </c>
      <c r="Y128" s="21" t="n">
        <f aca="false">W128*12*$B$19/Assumptions!$C$18</f>
        <v>91977.2444173992</v>
      </c>
      <c r="Z128" s="21" t="n">
        <f aca="false">J128*(T128+Assumptions!$C$16)</f>
        <v>179800</v>
      </c>
      <c r="AA128" s="53" t="n">
        <f aca="false">IF(ISNUMBER(F128),F128,IF(H128&gt;=2000,4,3))</f>
        <v>3</v>
      </c>
      <c r="AB128" s="21" t="n">
        <f aca="false">IFERROR(INDEX($E$18:$H$25,MATCH(D128,$D$18:$D$25,0),1+IF(AA128&gt;=4,2,0)+IF(Q128="Y",1,0)),0)</f>
        <v>58000</v>
      </c>
      <c r="AC128" s="30" t="n">
        <f aca="false">IFERROR(AB128/X128,0)</f>
        <v>0.788238443750173</v>
      </c>
      <c r="AD128" s="4" t="str">
        <f aca="false">IF(ISNUMBER(SEARCH("Mobile",E128)),"EXCLUDED",IF(AB128&gt;=Y128,"PASS",IF(AB128&gt;=X128,"MARGINAL","FAIL")))</f>
        <v>FAIL</v>
      </c>
      <c r="AE128" s="26"/>
    </row>
    <row r="129" customFormat="false" ht="15" hidden="false" customHeight="false" outlineLevel="0" collapsed="false">
      <c r="A129" s="36" t="s">
        <v>742</v>
      </c>
      <c r="B129" s="36" t="s">
        <v>743</v>
      </c>
      <c r="C129" s="36" t="s">
        <v>85</v>
      </c>
      <c r="D129" s="36" t="s">
        <v>486</v>
      </c>
      <c r="E129" s="36" t="s">
        <v>617</v>
      </c>
      <c r="F129" s="36" t="n">
        <v>3</v>
      </c>
      <c r="G129" s="36" t="n">
        <v>2</v>
      </c>
      <c r="H129" s="55" t="n">
        <v>1471</v>
      </c>
      <c r="I129" s="34" t="n">
        <v>2001</v>
      </c>
      <c r="J129" s="37" t="n">
        <v>399000</v>
      </c>
      <c r="K129" s="34" t="n">
        <v>173</v>
      </c>
      <c r="L129" s="36" t="s">
        <v>744</v>
      </c>
      <c r="M129" s="37" t="n">
        <v>225000</v>
      </c>
      <c r="N129" s="37" t="n">
        <v>420710</v>
      </c>
      <c r="O129" s="36" t="s">
        <v>458</v>
      </c>
      <c r="P129" s="36" t="s">
        <v>154</v>
      </c>
      <c r="Q129" s="36" t="s">
        <v>154</v>
      </c>
      <c r="R129" s="36" t="s">
        <v>71</v>
      </c>
      <c r="S129" s="36" t="s">
        <v>702</v>
      </c>
      <c r="T129" s="39" t="n">
        <f aca="false">Assumptions!$C$15</f>
        <v>0.25</v>
      </c>
      <c r="U129" s="40" t="n">
        <f aca="false">J129*(1-T129)</f>
        <v>299250</v>
      </c>
      <c r="V129" s="41" t="n">
        <f aca="false">IF((1-T129)&gt;0.75,Assumptions!$C$11,IF((1-T129)&gt;0.7,Assumptions!$C$12,Assumptions!$C$13))</f>
        <v>0.0725</v>
      </c>
      <c r="W129" s="40" t="n">
        <f aca="false">PMT(V129/12,Assumptions!$C$14,-U129)+J129*INDEX(Assumptions!$C$28:$C$34,MATCH(C129,Assumptions!$B$28:$B$34,0))/12+(INDEX(Assumptions!$D$28:$D$34,MATCH(C129,Assumptions!$B$28:$B$34,0))+INDEX(Assumptions!$C$22:$C$25,MATCH(R129,Assumptions!$B$22:$B$25,0)))/12</f>
        <v>3564.99585140149</v>
      </c>
      <c r="X129" s="40" t="n">
        <f aca="false">W129*12*$B$18/Assumptions!$C$18</f>
        <v>53474.9377710223</v>
      </c>
      <c r="Y129" s="40" t="n">
        <f aca="false">W129*12*$B$19/Assumptions!$C$18</f>
        <v>66843.6722137779</v>
      </c>
      <c r="Z129" s="40" t="n">
        <f aca="false">J129*(T129+Assumptions!$C$16)</f>
        <v>115710</v>
      </c>
      <c r="AA129" s="56" t="n">
        <f aca="false">IF(ISNUMBER(F129),F129,IF(H129&gt;=2000,4,3))</f>
        <v>3</v>
      </c>
      <c r="AB129" s="40" t="n">
        <f aca="false">IFERROR(INDEX($E$18:$H$25,MATCH(D129,$D$18:$D$25,0),1+IF(AA129&gt;=4,2,0)+IF(Q129="Y",1,0)),0)</f>
        <v>42000</v>
      </c>
      <c r="AC129" s="42" t="n">
        <f aca="false">IFERROR(AB129/X129,0)</f>
        <v>0.785414658729337</v>
      </c>
      <c r="AD129" s="57" t="str">
        <f aca="false">IF(ISNUMBER(SEARCH("Mobile",E129)),"EXCLUDED",IF(AB129&gt;=Y129,"PASS",IF(AB129&gt;=X129,"MARGINAL","FAIL")))</f>
        <v>EXCLUDED</v>
      </c>
      <c r="AE129" s="35" t="s">
        <v>745</v>
      </c>
    </row>
    <row r="130" customFormat="false" ht="15" hidden="false" customHeight="false" outlineLevel="0" collapsed="false">
      <c r="A130" s="27" t="s">
        <v>746</v>
      </c>
      <c r="B130" s="27" t="s">
        <v>595</v>
      </c>
      <c r="C130" s="27" t="s">
        <v>80</v>
      </c>
      <c r="D130" s="27" t="s">
        <v>480</v>
      </c>
      <c r="E130" s="27" t="s">
        <v>506</v>
      </c>
      <c r="F130" s="27" t="n">
        <v>3</v>
      </c>
      <c r="G130" s="27" t="n">
        <v>2</v>
      </c>
      <c r="H130" s="52" t="n">
        <v>1872</v>
      </c>
      <c r="I130" s="13" t="n">
        <v>1997</v>
      </c>
      <c r="J130" s="19" t="n">
        <v>379000</v>
      </c>
      <c r="K130" s="13" t="n">
        <v>109</v>
      </c>
      <c r="L130" s="27" t="s">
        <v>747</v>
      </c>
      <c r="M130" s="19" t="n">
        <v>277500</v>
      </c>
      <c r="N130" s="19" t="n">
        <v>402604</v>
      </c>
      <c r="O130" s="27" t="s">
        <v>453</v>
      </c>
      <c r="P130" s="27" t="s">
        <v>154</v>
      </c>
      <c r="Q130" s="27" t="s">
        <v>154</v>
      </c>
      <c r="R130" s="27" t="s">
        <v>69</v>
      </c>
      <c r="S130" s="27" t="s">
        <v>597</v>
      </c>
      <c r="T130" s="28" t="n">
        <f aca="false">Assumptions!$C$15</f>
        <v>0.25</v>
      </c>
      <c r="U130" s="21" t="n">
        <f aca="false">J130*(1-T130)</f>
        <v>284250</v>
      </c>
      <c r="V130" s="29" t="n">
        <f aca="false">IF((1-T130)&gt;0.75,Assumptions!$C$11,IF((1-T130)&gt;0.7,Assumptions!$C$12,Assumptions!$C$13))</f>
        <v>0.0725</v>
      </c>
      <c r="W130" s="21" t="n">
        <f aca="false">PMT(V130/12,Assumptions!$C$14,-U130)+J130*INDEX(Assumptions!$C$28:$C$34,MATCH(C130,Assumptions!$B$28:$B$34,0))/12+(INDEX(Assumptions!$D$28:$D$34,MATCH(C130,Assumptions!$B$28:$B$34,0))+INDEX(Assumptions!$C$22:$C$25,MATCH(R130,Assumptions!$B$22:$B$25,0)))/12</f>
        <v>3079.50274272639</v>
      </c>
      <c r="X130" s="21" t="n">
        <f aca="false">W130*12*$B$18/Assumptions!$C$18</f>
        <v>46192.5411408959</v>
      </c>
      <c r="Y130" s="21" t="n">
        <f aca="false">W130*12*$B$19/Assumptions!$C$18</f>
        <v>57740.6764261198</v>
      </c>
      <c r="Z130" s="21" t="n">
        <f aca="false">J130*(T130+Assumptions!$C$16)</f>
        <v>109910</v>
      </c>
      <c r="AA130" s="53" t="n">
        <f aca="false">IF(ISNUMBER(F130),F130,IF(H130&gt;=2000,4,3))</f>
        <v>3</v>
      </c>
      <c r="AB130" s="21" t="n">
        <f aca="false">IFERROR(INDEX($E$18:$H$25,MATCH(D130,$D$18:$D$25,0),1+IF(AA130&gt;=4,2,0)+IF(Q130="Y",1,0)),0)</f>
        <v>36000</v>
      </c>
      <c r="AC130" s="30" t="n">
        <f aca="false">IFERROR(AB130/X130,0)</f>
        <v>0.779346602521677</v>
      </c>
      <c r="AD130" s="4" t="str">
        <f aca="false">IF(ISNUMBER(SEARCH("Mobile",E130)),"EXCLUDED",IF(AB130&gt;=Y130,"PASS",IF(AB130&gt;=X130,"MARGINAL","FAIL")))</f>
        <v>FAIL</v>
      </c>
      <c r="AE130" s="26"/>
    </row>
    <row r="131" customFormat="false" ht="15" hidden="false" customHeight="false" outlineLevel="0" collapsed="false">
      <c r="A131" s="36" t="s">
        <v>748</v>
      </c>
      <c r="B131" s="36" t="s">
        <v>644</v>
      </c>
      <c r="C131" s="36" t="s">
        <v>80</v>
      </c>
      <c r="D131" s="36" t="s">
        <v>480</v>
      </c>
      <c r="E131" s="36" t="s">
        <v>749</v>
      </c>
      <c r="F131" s="36" t="n">
        <v>4</v>
      </c>
      <c r="G131" s="36" t="n">
        <v>3.5</v>
      </c>
      <c r="H131" s="55" t="n">
        <v>2604</v>
      </c>
      <c r="I131" s="34" t="n">
        <v>2006</v>
      </c>
      <c r="J131" s="37" t="n">
        <v>414995</v>
      </c>
      <c r="K131" s="34" t="n">
        <v>984</v>
      </c>
      <c r="L131" s="36" t="s">
        <v>750</v>
      </c>
      <c r="M131" s="37" t="n">
        <v>350000</v>
      </c>
      <c r="N131" s="37" t="n">
        <v>355583</v>
      </c>
      <c r="O131" s="36" t="s">
        <v>448</v>
      </c>
      <c r="P131" s="36" t="s">
        <v>154</v>
      </c>
      <c r="Q131" s="36" t="s">
        <v>154</v>
      </c>
      <c r="R131" s="36" t="s">
        <v>71</v>
      </c>
      <c r="S131" s="36" t="s">
        <v>597</v>
      </c>
      <c r="T131" s="39" t="n">
        <f aca="false">Assumptions!$C$15</f>
        <v>0.25</v>
      </c>
      <c r="U131" s="40" t="n">
        <f aca="false">J131*(1-T131)</f>
        <v>311246.25</v>
      </c>
      <c r="V131" s="41" t="n">
        <f aca="false">IF((1-T131)&gt;0.75,Assumptions!$C$11,IF((1-T131)&gt;0.7,Assumptions!$C$12,Assumptions!$C$13))</f>
        <v>0.0725</v>
      </c>
      <c r="W131" s="40" t="n">
        <f aca="false">PMT(V131/12,Assumptions!$C$14,-U131)+J131*INDEX(Assumptions!$C$28:$C$34,MATCH(C131,Assumptions!$B$28:$B$34,0))/12+(INDEX(Assumptions!$D$28:$D$34,MATCH(C131,Assumptions!$B$28:$B$34,0))+INDEX(Assumptions!$C$22:$C$25,MATCH(R131,Assumptions!$B$22:$B$25,0)))/12</f>
        <v>3600.32517339773</v>
      </c>
      <c r="X131" s="40" t="n">
        <f aca="false">W131*12*$B$18/Assumptions!$C$18</f>
        <v>54004.8776009659</v>
      </c>
      <c r="Y131" s="40" t="n">
        <f aca="false">W131*12*$B$19/Assumptions!$C$18</f>
        <v>67506.0970012074</v>
      </c>
      <c r="Z131" s="40" t="n">
        <f aca="false">J131*(T131+Assumptions!$C$16)</f>
        <v>120348.55</v>
      </c>
      <c r="AA131" s="56" t="n">
        <f aca="false">IF(ISNUMBER(F131),F131,IF(H131&gt;=2000,4,3))</f>
        <v>4</v>
      </c>
      <c r="AB131" s="40" t="n">
        <f aca="false">IFERROR(INDEX($E$18:$H$25,MATCH(D131,$D$18:$D$25,0),1+IF(AA131&gt;=4,2,0)+IF(Q131="Y",1,0)),0)</f>
        <v>42000</v>
      </c>
      <c r="AC131" s="42" t="n">
        <f aca="false">IFERROR(AB131/X131,0)</f>
        <v>0.777707530611065</v>
      </c>
      <c r="AD131" s="57" t="str">
        <f aca="false">IF(ISNUMBER(SEARCH("Mobile",E131)),"EXCLUDED",IF(AB131&gt;=Y131,"PASS",IF(AB131&gt;=X131,"MARGINAL","FAIL")))</f>
        <v>FAIL</v>
      </c>
      <c r="AE131" s="35"/>
    </row>
    <row r="132" customFormat="false" ht="15" hidden="false" customHeight="false" outlineLevel="0" collapsed="false">
      <c r="A132" s="27" t="s">
        <v>751</v>
      </c>
      <c r="B132" s="27" t="s">
        <v>595</v>
      </c>
      <c r="C132" s="27" t="s">
        <v>80</v>
      </c>
      <c r="D132" s="27" t="s">
        <v>480</v>
      </c>
      <c r="E132" s="27" t="s">
        <v>506</v>
      </c>
      <c r="F132" s="27" t="n">
        <v>3</v>
      </c>
      <c r="G132" s="27" t="n">
        <v>2</v>
      </c>
      <c r="H132" s="52" t="n">
        <v>1488</v>
      </c>
      <c r="I132" s="13" t="n">
        <v>1985</v>
      </c>
      <c r="J132" s="19" t="n">
        <v>384900</v>
      </c>
      <c r="K132" s="13" t="n">
        <v>172</v>
      </c>
      <c r="L132" s="27" t="s">
        <v>752</v>
      </c>
      <c r="M132" s="19" t="n">
        <v>305000</v>
      </c>
      <c r="N132" s="19" t="n">
        <v>379757</v>
      </c>
      <c r="O132" s="27" t="s">
        <v>453</v>
      </c>
      <c r="P132" s="27" t="s">
        <v>154</v>
      </c>
      <c r="Q132" s="27" t="s">
        <v>154</v>
      </c>
      <c r="R132" s="27" t="s">
        <v>69</v>
      </c>
      <c r="S132" s="27" t="s">
        <v>597</v>
      </c>
      <c r="T132" s="28" t="n">
        <f aca="false">Assumptions!$C$15</f>
        <v>0.25</v>
      </c>
      <c r="U132" s="21" t="n">
        <f aca="false">J132*(1-T132)</f>
        <v>288675</v>
      </c>
      <c r="V132" s="29" t="n">
        <f aca="false">IF((1-T132)&gt;0.75,Assumptions!$C$11,IF((1-T132)&gt;0.7,Assumptions!$C$12,Assumptions!$C$13))</f>
        <v>0.0725</v>
      </c>
      <c r="W132" s="21" t="n">
        <f aca="false">PMT(V132/12,Assumptions!$C$14,-U132)+J132*INDEX(Assumptions!$C$28:$C$34,MATCH(C132,Assumptions!$B$28:$B$34,0))/12+(INDEX(Assumptions!$D$28:$D$34,MATCH(C132,Assumptions!$B$28:$B$34,0))+INDEX(Assumptions!$C$22:$C$25,MATCH(R132,Assumptions!$B$22:$B$25,0)))/12</f>
        <v>3117.06404311888</v>
      </c>
      <c r="X132" s="21" t="n">
        <f aca="false">W132*12*$B$18/Assumptions!$C$18</f>
        <v>46755.9606467832</v>
      </c>
      <c r="Y132" s="21" t="n">
        <f aca="false">W132*12*$B$19/Assumptions!$C$18</f>
        <v>58444.950808479</v>
      </c>
      <c r="Z132" s="21" t="n">
        <f aca="false">J132*(T132+Assumptions!$C$16)</f>
        <v>111621</v>
      </c>
      <c r="AA132" s="53" t="n">
        <f aca="false">IF(ISNUMBER(F132),F132,IF(H132&gt;=2000,4,3))</f>
        <v>3</v>
      </c>
      <c r="AB132" s="21" t="n">
        <f aca="false">IFERROR(INDEX($E$18:$H$25,MATCH(D132,$D$18:$D$25,0),1+IF(AA132&gt;=4,2,0)+IF(Q132="Y",1,0)),0)</f>
        <v>36000</v>
      </c>
      <c r="AC132" s="30" t="n">
        <f aca="false">IFERROR(AB132/X132,0)</f>
        <v>0.769955306275518</v>
      </c>
      <c r="AD132" s="4" t="str">
        <f aca="false">IF(ISNUMBER(SEARCH("Mobile",E132)),"EXCLUDED",IF(AB132&gt;=Y132,"PASS",IF(AB132&gt;=X132,"MARGINAL","FAIL")))</f>
        <v>FAIL</v>
      </c>
      <c r="AE132" s="26"/>
    </row>
    <row r="133" customFormat="false" ht="15" hidden="false" customHeight="false" outlineLevel="0" collapsed="false">
      <c r="A133" s="36" t="s">
        <v>753</v>
      </c>
      <c r="B133" s="36" t="s">
        <v>231</v>
      </c>
      <c r="C133" s="36" t="s">
        <v>82</v>
      </c>
      <c r="D133" s="36" t="s">
        <v>482</v>
      </c>
      <c r="E133" s="36" t="s">
        <v>506</v>
      </c>
      <c r="F133" s="36" t="n">
        <v>3</v>
      </c>
      <c r="G133" s="36" t="n">
        <v>2</v>
      </c>
      <c r="H133" s="55" t="n">
        <v>1253</v>
      </c>
      <c r="I133" s="34" t="n">
        <v>2000</v>
      </c>
      <c r="J133" s="37" t="n">
        <v>519000</v>
      </c>
      <c r="K133" s="34" t="n">
        <v>111</v>
      </c>
      <c r="L133" s="36" t="s">
        <v>754</v>
      </c>
      <c r="M133" s="37" t="n">
        <v>120000</v>
      </c>
      <c r="N133" s="37" t="n">
        <v>503157</v>
      </c>
      <c r="O133" s="36" t="s">
        <v>453</v>
      </c>
      <c r="P133" s="36" t="s">
        <v>154</v>
      </c>
      <c r="Q133" s="36" t="s">
        <v>145</v>
      </c>
      <c r="R133" s="36" t="s">
        <v>75</v>
      </c>
      <c r="S133" s="36" t="s">
        <v>633</v>
      </c>
      <c r="T133" s="39" t="n">
        <f aca="false">Assumptions!$C$15</f>
        <v>0.25</v>
      </c>
      <c r="U133" s="40" t="n">
        <f aca="false">J133*(1-T133)</f>
        <v>389250</v>
      </c>
      <c r="V133" s="41" t="n">
        <f aca="false">IF((1-T133)&gt;0.75,Assumptions!$C$11,IF((1-T133)&gt;0.7,Assumptions!$C$12,Assumptions!$C$13))</f>
        <v>0.0725</v>
      </c>
      <c r="W133" s="40" t="n">
        <f aca="false">PMT(V133/12,Assumptions!$C$14,-U133)+J133*INDEX(Assumptions!$C$28:$C$34,MATCH(C133,Assumptions!$B$28:$B$34,0))/12+(INDEX(Assumptions!$D$28:$D$34,MATCH(C133,Assumptions!$B$28:$B$34,0))+INDEX(Assumptions!$C$22:$C$25,MATCH(R133,Assumptions!$B$22:$B$25,0)))/12</f>
        <v>3989.24617011873</v>
      </c>
      <c r="X133" s="40" t="n">
        <f aca="false">W133*12*$B$18/Assumptions!$C$18</f>
        <v>59838.6925517809</v>
      </c>
      <c r="Y133" s="40" t="n">
        <f aca="false">W133*12*$B$19/Assumptions!$C$18</f>
        <v>74798.3656897261</v>
      </c>
      <c r="Z133" s="40" t="n">
        <f aca="false">J133*(T133+Assumptions!$C$16)</f>
        <v>150510</v>
      </c>
      <c r="AA133" s="56" t="n">
        <f aca="false">IF(ISNUMBER(F133),F133,IF(H133&gt;=2000,4,3))</f>
        <v>3</v>
      </c>
      <c r="AB133" s="40" t="n">
        <f aca="false">IFERROR(INDEX($E$18:$H$25,MATCH(D133,$D$18:$D$25,0),1+IF(AA133&gt;=4,2,0)+IF(Q133="Y",1,0)),0)</f>
        <v>46000</v>
      </c>
      <c r="AC133" s="42" t="n">
        <f aca="false">IFERROR(AB133/X133,0)</f>
        <v>0.768733373647733</v>
      </c>
      <c r="AD133" s="57" t="str">
        <f aca="false">IF(ISNUMBER(SEARCH("Mobile",E133)),"EXCLUDED",IF(AB133&gt;=Y133,"PASS",IF(AB133&gt;=X133,"MARGINAL","FAIL")))</f>
        <v>FAIL</v>
      </c>
      <c r="AE133" s="35"/>
    </row>
    <row r="134" customFormat="false" ht="23.85" hidden="false" customHeight="false" outlineLevel="0" collapsed="false">
      <c r="A134" s="27" t="s">
        <v>755</v>
      </c>
      <c r="B134" s="27" t="s">
        <v>244</v>
      </c>
      <c r="C134" s="27" t="s">
        <v>18</v>
      </c>
      <c r="D134" s="27" t="s">
        <v>484</v>
      </c>
      <c r="E134" s="27" t="s">
        <v>506</v>
      </c>
      <c r="F134" s="27"/>
      <c r="G134" s="27" t="n">
        <v>3</v>
      </c>
      <c r="H134" s="52" t="n">
        <v>2104</v>
      </c>
      <c r="I134" s="13" t="n">
        <v>2024</v>
      </c>
      <c r="J134" s="19" t="n">
        <v>599900</v>
      </c>
      <c r="K134" s="13" t="n">
        <v>53</v>
      </c>
      <c r="L134" s="27" t="s">
        <v>756</v>
      </c>
      <c r="M134" s="19" t="n">
        <v>200000</v>
      </c>
      <c r="N134" s="19" t="n">
        <v>86750</v>
      </c>
      <c r="O134" s="27" t="s">
        <v>453</v>
      </c>
      <c r="P134" s="27" t="s">
        <v>154</v>
      </c>
      <c r="Q134" s="27" t="s">
        <v>154</v>
      </c>
      <c r="R134" s="27" t="s">
        <v>69</v>
      </c>
      <c r="S134" s="27" t="s">
        <v>520</v>
      </c>
      <c r="T134" s="28" t="n">
        <f aca="false">Assumptions!$C$15</f>
        <v>0.25</v>
      </c>
      <c r="U134" s="21" t="n">
        <f aca="false">J134*(1-T134)</f>
        <v>449925</v>
      </c>
      <c r="V134" s="29" t="n">
        <f aca="false">IF((1-T134)&gt;0.75,Assumptions!$C$11,IF((1-T134)&gt;0.7,Assumptions!$C$12,Assumptions!$C$13))</f>
        <v>0.0725</v>
      </c>
      <c r="W134" s="21" t="n">
        <f aca="false">PMT(V134/12,Assumptions!$C$14,-U134)+J134*INDEX(Assumptions!$C$28:$C$34,MATCH(C134,Assumptions!$B$28:$B$34,0))/12+(INDEX(Assumptions!$D$28:$D$34,MATCH(C134,Assumptions!$B$28:$B$34,0))+INDEX(Assumptions!$C$22:$C$25,MATCH(R134,Assumptions!$B$22:$B$25,0)))/12</f>
        <v>4535.81496137616</v>
      </c>
      <c r="X134" s="21" t="n">
        <f aca="false">W134*12*$B$18/Assumptions!$C$18</f>
        <v>68037.2244206423</v>
      </c>
      <c r="Y134" s="21" t="n">
        <f aca="false">W134*12*$B$19/Assumptions!$C$18</f>
        <v>85046.5305258029</v>
      </c>
      <c r="Z134" s="21" t="n">
        <f aca="false">J134*(T134+Assumptions!$C$16)</f>
        <v>173971</v>
      </c>
      <c r="AA134" s="53" t="n">
        <f aca="false">IF(ISNUMBER(F134),F134,IF(H134&gt;=2000,4,3))</f>
        <v>4</v>
      </c>
      <c r="AB134" s="21" t="n">
        <f aca="false">IFERROR(INDEX($E$18:$H$25,MATCH(D134,$D$18:$D$25,0),1+IF(AA134&gt;=4,2,0)+IF(Q134="Y",1,0)),0)</f>
        <v>52000</v>
      </c>
      <c r="AC134" s="30" t="n">
        <f aca="false">IFERROR(AB134/X134,0)</f>
        <v>0.764287497657287</v>
      </c>
      <c r="AD134" s="4" t="str">
        <f aca="false">IF(ISNUMBER(SEARCH("Mobile",E134)),"EXCLUDED",IF(AB134&gt;=Y134,"PASS",IF(AB134&gt;=X134,"MARGINAL","FAIL")))</f>
        <v>FAIL</v>
      </c>
      <c r="AE134" s="26" t="s">
        <v>546</v>
      </c>
    </row>
    <row r="135" customFormat="false" ht="23.85" hidden="false" customHeight="false" outlineLevel="0" collapsed="false">
      <c r="A135" s="36" t="s">
        <v>757</v>
      </c>
      <c r="B135" s="36" t="s">
        <v>297</v>
      </c>
      <c r="C135" s="36" t="s">
        <v>18</v>
      </c>
      <c r="D135" s="36" t="s">
        <v>484</v>
      </c>
      <c r="E135" s="36" t="s">
        <v>506</v>
      </c>
      <c r="F135" s="36"/>
      <c r="G135" s="36" t="n">
        <v>2</v>
      </c>
      <c r="H135" s="55" t="n">
        <v>1382</v>
      </c>
      <c r="I135" s="34" t="n">
        <v>1964</v>
      </c>
      <c r="J135" s="37" t="n">
        <v>467500</v>
      </c>
      <c r="K135" s="34" t="n">
        <v>37</v>
      </c>
      <c r="L135" s="36"/>
      <c r="M135" s="37"/>
      <c r="N135" s="37" t="n">
        <v>350043</v>
      </c>
      <c r="O135" s="36" t="s">
        <v>453</v>
      </c>
      <c r="P135" s="36" t="s">
        <v>154</v>
      </c>
      <c r="Q135" s="36" t="s">
        <v>154</v>
      </c>
      <c r="R135" s="36" t="s">
        <v>71</v>
      </c>
      <c r="S135" s="36" t="s">
        <v>532</v>
      </c>
      <c r="T135" s="39" t="n">
        <f aca="false">Assumptions!$C$15</f>
        <v>0.25</v>
      </c>
      <c r="U135" s="40" t="n">
        <f aca="false">J135*(1-T135)</f>
        <v>350625</v>
      </c>
      <c r="V135" s="41" t="n">
        <f aca="false">IF((1-T135)&gt;0.75,Assumptions!$C$11,IF((1-T135)&gt;0.7,Assumptions!$C$12,Assumptions!$C$13))</f>
        <v>0.0725</v>
      </c>
      <c r="W135" s="40" t="n">
        <f aca="false">PMT(V135/12,Assumptions!$C$14,-U135)+J135*INDEX(Assumptions!$C$28:$C$34,MATCH(C135,Assumptions!$B$28:$B$34,0))/12+(INDEX(Assumptions!$D$28:$D$34,MATCH(C135,Assumptions!$B$28:$B$34,0))+INDEX(Assumptions!$C$22:$C$25,MATCH(R135,Assumptions!$B$22:$B$25,0)))/12</f>
        <v>3973.54724861369</v>
      </c>
      <c r="X135" s="40" t="n">
        <f aca="false">W135*12*$B$18/Assumptions!$C$18</f>
        <v>59603.2087292053</v>
      </c>
      <c r="Y135" s="40" t="n">
        <f aca="false">W135*12*$B$19/Assumptions!$C$18</f>
        <v>74504.0109115067</v>
      </c>
      <c r="Z135" s="40" t="n">
        <f aca="false">J135*(T135+Assumptions!$C$16)</f>
        <v>135575</v>
      </c>
      <c r="AA135" s="56" t="n">
        <f aca="false">IF(ISNUMBER(F135),F135,IF(H135&gt;=2000,4,3))</f>
        <v>3</v>
      </c>
      <c r="AB135" s="40" t="n">
        <f aca="false">IFERROR(INDEX($E$18:$H$25,MATCH(D135,$D$18:$D$25,0),1+IF(AA135&gt;=4,2,0)+IF(Q135="Y",1,0)),0)</f>
        <v>45000</v>
      </c>
      <c r="AC135" s="42" t="n">
        <f aca="false">IFERROR(AB135/X135,0)</f>
        <v>0.754992909936243</v>
      </c>
      <c r="AD135" s="57" t="str">
        <f aca="false">IF(ISNUMBER(SEARCH("Mobile",E135)),"EXCLUDED",IF(AB135&gt;=Y135,"PASS",IF(AB135&gt;=X135,"MARGINAL","FAIL")))</f>
        <v>FAIL</v>
      </c>
      <c r="AE135" s="35" t="s">
        <v>546</v>
      </c>
    </row>
    <row r="136" customFormat="false" ht="23.85" hidden="false" customHeight="false" outlineLevel="0" collapsed="false">
      <c r="A136" s="27" t="s">
        <v>758</v>
      </c>
      <c r="B136" s="27" t="s">
        <v>297</v>
      </c>
      <c r="C136" s="27" t="s">
        <v>18</v>
      </c>
      <c r="D136" s="27" t="s">
        <v>484</v>
      </c>
      <c r="E136" s="27" t="s">
        <v>506</v>
      </c>
      <c r="F136" s="27"/>
      <c r="G136" s="27" t="n">
        <v>1.5</v>
      </c>
      <c r="H136" s="52" t="n">
        <v>1292</v>
      </c>
      <c r="I136" s="13" t="n">
        <v>1957</v>
      </c>
      <c r="J136" s="19" t="n">
        <v>515000</v>
      </c>
      <c r="K136" s="13" t="n">
        <v>29</v>
      </c>
      <c r="L136" s="27" t="s">
        <v>759</v>
      </c>
      <c r="M136" s="19" t="n">
        <v>345000</v>
      </c>
      <c r="N136" s="19" t="n">
        <v>462042</v>
      </c>
      <c r="O136" s="27" t="s">
        <v>453</v>
      </c>
      <c r="P136" s="27" t="s">
        <v>154</v>
      </c>
      <c r="Q136" s="27" t="s">
        <v>154</v>
      </c>
      <c r="R136" s="27" t="s">
        <v>69</v>
      </c>
      <c r="S136" s="27" t="s">
        <v>532</v>
      </c>
      <c r="T136" s="28" t="n">
        <f aca="false">Assumptions!$C$15</f>
        <v>0.25</v>
      </c>
      <c r="U136" s="21" t="n">
        <f aca="false">J136*(1-T136)</f>
        <v>386250</v>
      </c>
      <c r="V136" s="29" t="n">
        <f aca="false">IF((1-T136)&gt;0.75,Assumptions!$C$11,IF((1-T136)&gt;0.7,Assumptions!$C$12,Assumptions!$C$13))</f>
        <v>0.0725</v>
      </c>
      <c r="W136" s="21" t="n">
        <f aca="false">PMT(V136/12,Assumptions!$C$14,-U136)+J136*INDEX(Assumptions!$C$28:$C$34,MATCH(C136,Assumptions!$B$28:$B$34,0))/12+(INDEX(Assumptions!$D$28:$D$34,MATCH(C136,Assumptions!$B$28:$B$34,0))+INDEX(Assumptions!$C$22:$C$25,MATCH(R136,Assumptions!$B$22:$B$25,0)))/12</f>
        <v>3988.23921505037</v>
      </c>
      <c r="X136" s="21" t="n">
        <f aca="false">W136*12*$B$18/Assumptions!$C$18</f>
        <v>59823.5882257556</v>
      </c>
      <c r="Y136" s="21" t="n">
        <f aca="false">W136*12*$B$19/Assumptions!$C$18</f>
        <v>74779.4852821945</v>
      </c>
      <c r="Z136" s="21" t="n">
        <f aca="false">J136*(T136+Assumptions!$C$16)</f>
        <v>149350</v>
      </c>
      <c r="AA136" s="53" t="n">
        <f aca="false">IF(ISNUMBER(F136),F136,IF(H136&gt;=2000,4,3))</f>
        <v>3</v>
      </c>
      <c r="AB136" s="21" t="n">
        <f aca="false">IFERROR(INDEX($E$18:$H$25,MATCH(D136,$D$18:$D$25,0),1+IF(AA136&gt;=4,2,0)+IF(Q136="Y",1,0)),0)</f>
        <v>45000</v>
      </c>
      <c r="AC136" s="30" t="n">
        <f aca="false">IFERROR(AB136/X136,0)</f>
        <v>0.75221164986266</v>
      </c>
      <c r="AD136" s="4" t="str">
        <f aca="false">IF(ISNUMBER(SEARCH("Mobile",E136)),"EXCLUDED",IF(AB136&gt;=Y136,"PASS",IF(AB136&gt;=X136,"MARGINAL","FAIL")))</f>
        <v>FAIL</v>
      </c>
      <c r="AE136" s="26" t="s">
        <v>546</v>
      </c>
    </row>
    <row r="137" customFormat="false" ht="15" hidden="false" customHeight="false" outlineLevel="0" collapsed="false">
      <c r="A137" s="36" t="s">
        <v>760</v>
      </c>
      <c r="B137" s="36" t="s">
        <v>164</v>
      </c>
      <c r="C137" s="36" t="s">
        <v>82</v>
      </c>
      <c r="D137" s="36" t="s">
        <v>481</v>
      </c>
      <c r="E137" s="36" t="s">
        <v>506</v>
      </c>
      <c r="F137" s="36" t="n">
        <v>3</v>
      </c>
      <c r="G137" s="36" t="n">
        <v>2</v>
      </c>
      <c r="H137" s="55" t="n">
        <v>1092</v>
      </c>
      <c r="I137" s="34" t="n">
        <v>2022</v>
      </c>
      <c r="J137" s="37" t="n">
        <v>490819</v>
      </c>
      <c r="K137" s="34"/>
      <c r="L137" s="36" t="s">
        <v>761</v>
      </c>
      <c r="M137" s="37" t="n">
        <v>86000</v>
      </c>
      <c r="N137" s="37" t="n">
        <v>293771</v>
      </c>
      <c r="O137" s="36" t="s">
        <v>458</v>
      </c>
      <c r="P137" s="36" t="s">
        <v>154</v>
      </c>
      <c r="Q137" s="36" t="s">
        <v>154</v>
      </c>
      <c r="R137" s="36" t="s">
        <v>69</v>
      </c>
      <c r="S137" s="36" t="s">
        <v>633</v>
      </c>
      <c r="T137" s="39" t="n">
        <f aca="false">Assumptions!$C$15</f>
        <v>0.25</v>
      </c>
      <c r="U137" s="40" t="n">
        <f aca="false">J137*(1-T137)</f>
        <v>368114.25</v>
      </c>
      <c r="V137" s="41" t="n">
        <f aca="false">IF((1-T137)&gt;0.75,Assumptions!$C$11,IF((1-T137)&gt;0.7,Assumptions!$C$12,Assumptions!$C$13))</f>
        <v>0.0725</v>
      </c>
      <c r="W137" s="40" t="n">
        <f aca="false">PMT(V137/12,Assumptions!$C$14,-U137)+J137*INDEX(Assumptions!$C$28:$C$34,MATCH(C137,Assumptions!$B$28:$B$34,0))/12+(INDEX(Assumptions!$D$28:$D$34,MATCH(C137,Assumptions!$B$28:$B$34,0))+INDEX(Assumptions!$C$22:$C$25,MATCH(R137,Assumptions!$B$22:$B$25,0)))/12</f>
        <v>3730.02613867342</v>
      </c>
      <c r="X137" s="40" t="n">
        <f aca="false">W137*12*$B$18/Assumptions!$C$18</f>
        <v>55950.3920801012</v>
      </c>
      <c r="Y137" s="40" t="n">
        <f aca="false">W137*12*$B$19/Assumptions!$C$18</f>
        <v>69937.9901001266</v>
      </c>
      <c r="Z137" s="40" t="n">
        <f aca="false">J137*(T137+Assumptions!$C$16)</f>
        <v>142337.51</v>
      </c>
      <c r="AA137" s="56" t="n">
        <f aca="false">IF(ISNUMBER(F137),F137,IF(H137&gt;=2000,4,3))</f>
        <v>3</v>
      </c>
      <c r="AB137" s="40" t="n">
        <f aca="false">IFERROR(INDEX($E$18:$H$25,MATCH(D137,$D$18:$D$25,0),1+IF(AA137&gt;=4,2,0)+IF(Q137="Y",1,0)),0)</f>
        <v>42000</v>
      </c>
      <c r="AC137" s="42" t="n">
        <f aca="false">IFERROR(AB137/X137,0)</f>
        <v>0.750664980861453</v>
      </c>
      <c r="AD137" s="57" t="str">
        <f aca="false">IF(ISNUMBER(SEARCH("Mobile",E137)),"EXCLUDED",IF(AB137&gt;=Y137,"PASS",IF(AB137&gt;=X137,"MARGINAL","FAIL")))</f>
        <v>FAIL</v>
      </c>
      <c r="AE137" s="35" t="s">
        <v>762</v>
      </c>
    </row>
    <row r="138" customFormat="false" ht="23.85" hidden="false" customHeight="false" outlineLevel="0" collapsed="false">
      <c r="A138" s="27" t="s">
        <v>763</v>
      </c>
      <c r="B138" s="27" t="s">
        <v>310</v>
      </c>
      <c r="C138" s="27" t="s">
        <v>18</v>
      </c>
      <c r="D138" s="27" t="s">
        <v>484</v>
      </c>
      <c r="E138" s="27" t="s">
        <v>506</v>
      </c>
      <c r="F138" s="27"/>
      <c r="G138" s="27" t="n">
        <v>3.5</v>
      </c>
      <c r="H138" s="52" t="n">
        <v>2219</v>
      </c>
      <c r="I138" s="13" t="n">
        <v>2003</v>
      </c>
      <c r="J138" s="19" t="n">
        <v>614900</v>
      </c>
      <c r="K138" s="13" t="n">
        <v>123</v>
      </c>
      <c r="L138" s="27" t="s">
        <v>764</v>
      </c>
      <c r="M138" s="19" t="n">
        <v>315000</v>
      </c>
      <c r="N138" s="19" t="n">
        <v>611304</v>
      </c>
      <c r="O138" s="27" t="s">
        <v>453</v>
      </c>
      <c r="P138" s="27" t="s">
        <v>154</v>
      </c>
      <c r="Q138" s="27" t="s">
        <v>154</v>
      </c>
      <c r="R138" s="27" t="s">
        <v>69</v>
      </c>
      <c r="S138" s="27" t="s">
        <v>520</v>
      </c>
      <c r="T138" s="28" t="n">
        <f aca="false">Assumptions!$C$15</f>
        <v>0.25</v>
      </c>
      <c r="U138" s="21" t="n">
        <f aca="false">J138*(1-T138)</f>
        <v>461175</v>
      </c>
      <c r="V138" s="29" t="n">
        <f aca="false">IF((1-T138)&gt;0.75,Assumptions!$C$11,IF((1-T138)&gt;0.7,Assumptions!$C$12,Assumptions!$C$13))</f>
        <v>0.0725</v>
      </c>
      <c r="W138" s="21" t="n">
        <f aca="false">PMT(V138/12,Assumptions!$C$14,-U138)+J138*INDEX(Assumptions!$C$28:$C$34,MATCH(C138,Assumptions!$B$28:$B$34,0))/12+(INDEX(Assumptions!$D$28:$D$34,MATCH(C138,Assumptions!$B$28:$B$34,0))+INDEX(Assumptions!$C$22:$C$25,MATCH(R138,Assumptions!$B$22:$B$25,0)))/12</f>
        <v>4632.55979288248</v>
      </c>
      <c r="X138" s="21" t="n">
        <f aca="false">W138*12*$B$18/Assumptions!$C$18</f>
        <v>69488.3968932372</v>
      </c>
      <c r="Y138" s="21" t="n">
        <f aca="false">W138*12*$B$19/Assumptions!$C$18</f>
        <v>86860.4961165464</v>
      </c>
      <c r="Z138" s="21" t="n">
        <f aca="false">J138*(T138+Assumptions!$C$16)</f>
        <v>178321</v>
      </c>
      <c r="AA138" s="53" t="n">
        <f aca="false">IF(ISNUMBER(F138),F138,IF(H138&gt;=2000,4,3))</f>
        <v>4</v>
      </c>
      <c r="AB138" s="21" t="n">
        <f aca="false">IFERROR(INDEX($E$18:$H$25,MATCH(D138,$D$18:$D$25,0),1+IF(AA138&gt;=4,2,0)+IF(Q138="Y",1,0)),0)</f>
        <v>52000</v>
      </c>
      <c r="AC138" s="30" t="n">
        <f aca="false">IFERROR(AB138/X138,0)</f>
        <v>0.748326372817227</v>
      </c>
      <c r="AD138" s="4" t="str">
        <f aca="false">IF(ISNUMBER(SEARCH("Mobile",E138)),"EXCLUDED",IF(AB138&gt;=Y138,"PASS",IF(AB138&gt;=X138,"MARGINAL","FAIL")))</f>
        <v>FAIL</v>
      </c>
      <c r="AE138" s="26" t="s">
        <v>546</v>
      </c>
    </row>
    <row r="139" customFormat="false" ht="23.85" hidden="false" customHeight="false" outlineLevel="0" collapsed="false">
      <c r="A139" s="36" t="s">
        <v>765</v>
      </c>
      <c r="B139" s="36" t="s">
        <v>244</v>
      </c>
      <c r="C139" s="36" t="s">
        <v>18</v>
      </c>
      <c r="D139" s="36" t="s">
        <v>484</v>
      </c>
      <c r="E139" s="36" t="s">
        <v>506</v>
      </c>
      <c r="F139" s="36"/>
      <c r="G139" s="36" t="n">
        <v>3</v>
      </c>
      <c r="H139" s="55" t="n">
        <v>2255</v>
      </c>
      <c r="I139" s="34" t="n">
        <v>2024</v>
      </c>
      <c r="J139" s="37" t="n">
        <v>619999</v>
      </c>
      <c r="K139" s="34" t="n">
        <v>11</v>
      </c>
      <c r="L139" s="36" t="s">
        <v>766</v>
      </c>
      <c r="M139" s="37" t="n">
        <v>24000</v>
      </c>
      <c r="N139" s="37" t="n">
        <v>611197</v>
      </c>
      <c r="O139" s="36" t="s">
        <v>458</v>
      </c>
      <c r="P139" s="36" t="s">
        <v>154</v>
      </c>
      <c r="Q139" s="36" t="s">
        <v>154</v>
      </c>
      <c r="R139" s="36" t="s">
        <v>69</v>
      </c>
      <c r="S139" s="36" t="s">
        <v>520</v>
      </c>
      <c r="T139" s="39" t="n">
        <f aca="false">Assumptions!$C$15</f>
        <v>0.25</v>
      </c>
      <c r="U139" s="40" t="n">
        <f aca="false">J139*(1-T139)</f>
        <v>464999.25</v>
      </c>
      <c r="V139" s="41" t="n">
        <f aca="false">IF((1-T139)&gt;0.75,Assumptions!$C$11,IF((1-T139)&gt;0.7,Assumptions!$C$12,Assumptions!$C$13))</f>
        <v>0.0725</v>
      </c>
      <c r="W139" s="40" t="n">
        <f aca="false">PMT(V139/12,Assumptions!$C$14,-U139)+J139*INDEX(Assumptions!$C$28:$C$34,MATCH(C139,Assumptions!$B$28:$B$34,0))/12+(INDEX(Assumptions!$D$28:$D$34,MATCH(C139,Assumptions!$B$28:$B$34,0))+INDEX(Assumptions!$C$22:$C$25,MATCH(R139,Assumptions!$B$22:$B$25,0)))/12</f>
        <v>4665.44658593919</v>
      </c>
      <c r="X139" s="40" t="n">
        <f aca="false">W139*12*$B$18/Assumptions!$C$18</f>
        <v>69981.6987890879</v>
      </c>
      <c r="Y139" s="40" t="n">
        <f aca="false">W139*12*$B$19/Assumptions!$C$18</f>
        <v>87477.1234863599</v>
      </c>
      <c r="Z139" s="40" t="n">
        <f aca="false">J139*(T139+Assumptions!$C$16)</f>
        <v>179799.71</v>
      </c>
      <c r="AA139" s="56" t="n">
        <f aca="false">IF(ISNUMBER(F139),F139,IF(H139&gt;=2000,4,3))</f>
        <v>4</v>
      </c>
      <c r="AB139" s="40" t="n">
        <f aca="false">IFERROR(INDEX($E$18:$H$25,MATCH(D139,$D$18:$D$25,0),1+IF(AA139&gt;=4,2,0)+IF(Q139="Y",1,0)),0)</f>
        <v>52000</v>
      </c>
      <c r="AC139" s="42" t="n">
        <f aca="false">IFERROR(AB139/X139,0)</f>
        <v>0.743051410579765</v>
      </c>
      <c r="AD139" s="57" t="str">
        <f aca="false">IF(ISNUMBER(SEARCH("Mobile",E139)),"EXCLUDED",IF(AB139&gt;=Y139,"PASS",IF(AB139&gt;=X139,"MARGINAL","FAIL")))</f>
        <v>FAIL</v>
      </c>
      <c r="AE139" s="35" t="s">
        <v>546</v>
      </c>
    </row>
    <row r="140" customFormat="false" ht="15" hidden="false" customHeight="false" outlineLevel="0" collapsed="false">
      <c r="A140" s="27" t="s">
        <v>767</v>
      </c>
      <c r="B140" s="27" t="s">
        <v>514</v>
      </c>
      <c r="C140" s="27" t="s">
        <v>82</v>
      </c>
      <c r="D140" s="27" t="s">
        <v>481</v>
      </c>
      <c r="E140" s="27" t="s">
        <v>506</v>
      </c>
      <c r="F140" s="27" t="n">
        <v>3</v>
      </c>
      <c r="G140" s="27" t="n">
        <v>1</v>
      </c>
      <c r="H140" s="52" t="n">
        <v>944</v>
      </c>
      <c r="I140" s="13" t="n">
        <v>1949</v>
      </c>
      <c r="J140" s="19" t="n">
        <v>499000</v>
      </c>
      <c r="K140" s="13" t="n">
        <v>20</v>
      </c>
      <c r="L140" s="27" t="s">
        <v>768</v>
      </c>
      <c r="M140" s="19" t="n">
        <v>492000</v>
      </c>
      <c r="N140" s="19" t="n">
        <v>411328</v>
      </c>
      <c r="O140" s="27" t="s">
        <v>453</v>
      </c>
      <c r="P140" s="27" t="s">
        <v>154</v>
      </c>
      <c r="Q140" s="27" t="s">
        <v>154</v>
      </c>
      <c r="R140" s="27" t="s">
        <v>69</v>
      </c>
      <c r="S140" s="27" t="s">
        <v>516</v>
      </c>
      <c r="T140" s="28" t="n">
        <f aca="false">Assumptions!$C$15</f>
        <v>0.25</v>
      </c>
      <c r="U140" s="21" t="n">
        <f aca="false">J140*(1-T140)</f>
        <v>374250</v>
      </c>
      <c r="V140" s="29" t="n">
        <f aca="false">IF((1-T140)&gt;0.75,Assumptions!$C$11,IF((1-T140)&gt;0.7,Assumptions!$C$12,Assumptions!$C$13))</f>
        <v>0.0725</v>
      </c>
      <c r="W140" s="21" t="n">
        <f aca="false">PMT(V140/12,Assumptions!$C$14,-U140)+J140*INDEX(Assumptions!$C$28:$C$34,MATCH(C140,Assumptions!$B$28:$B$34,0))/12+(INDEX(Assumptions!$D$28:$D$34,MATCH(C140,Assumptions!$B$28:$B$34,0))+INDEX(Assumptions!$C$22:$C$25,MATCH(R140,Assumptions!$B$22:$B$25,0)))/12</f>
        <v>3781.08639477696</v>
      </c>
      <c r="X140" s="21" t="n">
        <f aca="false">W140*12*$B$18/Assumptions!$C$18</f>
        <v>56716.2959216545</v>
      </c>
      <c r="Y140" s="21" t="n">
        <f aca="false">W140*12*$B$19/Assumptions!$C$18</f>
        <v>70895.3699020681</v>
      </c>
      <c r="Z140" s="21" t="n">
        <f aca="false">J140*(T140+Assumptions!$C$16)</f>
        <v>144710</v>
      </c>
      <c r="AA140" s="53" t="n">
        <f aca="false">IF(ISNUMBER(F140),F140,IF(H140&gt;=2000,4,3))</f>
        <v>3</v>
      </c>
      <c r="AB140" s="21" t="n">
        <f aca="false">IFERROR(INDEX($E$18:$H$25,MATCH(D140,$D$18:$D$25,0),1+IF(AA140&gt;=4,2,0)+IF(Q140="Y",1,0)),0)</f>
        <v>42000</v>
      </c>
      <c r="AC140" s="30" t="n">
        <f aca="false">IFERROR(AB140/X140,0)</f>
        <v>0.740527908557658</v>
      </c>
      <c r="AD140" s="4" t="str">
        <f aca="false">IF(ISNUMBER(SEARCH("Mobile",E140)),"EXCLUDED",IF(AB140&gt;=Y140,"PASS",IF(AB140&gt;=X140,"MARGINAL","FAIL")))</f>
        <v>FAIL</v>
      </c>
      <c r="AE140" s="26"/>
    </row>
    <row r="141" customFormat="false" ht="23.85" hidden="false" customHeight="false" outlineLevel="0" collapsed="false">
      <c r="A141" s="36" t="s">
        <v>769</v>
      </c>
      <c r="B141" s="36" t="s">
        <v>244</v>
      </c>
      <c r="C141" s="36" t="s">
        <v>18</v>
      </c>
      <c r="D141" s="36" t="s">
        <v>484</v>
      </c>
      <c r="E141" s="36" t="s">
        <v>506</v>
      </c>
      <c r="F141" s="36"/>
      <c r="G141" s="36" t="n">
        <v>2</v>
      </c>
      <c r="H141" s="55" t="n">
        <v>1526</v>
      </c>
      <c r="I141" s="34" t="n">
        <v>2025</v>
      </c>
      <c r="J141" s="37" t="n">
        <v>512500</v>
      </c>
      <c r="K141" s="34" t="n">
        <v>573</v>
      </c>
      <c r="L141" s="36"/>
      <c r="M141" s="37"/>
      <c r="N141" s="37" t="n">
        <v>524503</v>
      </c>
      <c r="O141" s="36" t="s">
        <v>448</v>
      </c>
      <c r="P141" s="36" t="s">
        <v>154</v>
      </c>
      <c r="Q141" s="36" t="s">
        <v>154</v>
      </c>
      <c r="R141" s="36" t="s">
        <v>75</v>
      </c>
      <c r="S141" s="36" t="s">
        <v>520</v>
      </c>
      <c r="T141" s="39" t="n">
        <f aca="false">Assumptions!$C$15</f>
        <v>0.25</v>
      </c>
      <c r="U141" s="40" t="n">
        <f aca="false">J141*(1-T141)</f>
        <v>384375</v>
      </c>
      <c r="V141" s="41" t="n">
        <f aca="false">IF((1-T141)&gt;0.75,Assumptions!$C$11,IF((1-T141)&gt;0.7,Assumptions!$C$12,Assumptions!$C$13))</f>
        <v>0.0725</v>
      </c>
      <c r="W141" s="40" t="n">
        <f aca="false">PMT(V141/12,Assumptions!$C$14,-U141)+J141*INDEX(Assumptions!$C$28:$C$34,MATCH(C141,Assumptions!$B$28:$B$34,0))/12+(INDEX(Assumptions!$D$28:$D$34,MATCH(C141,Assumptions!$B$28:$B$34,0))+INDEX(Assumptions!$C$22:$C$25,MATCH(R141,Assumptions!$B$22:$B$25,0)))/12</f>
        <v>4055.44840979932</v>
      </c>
      <c r="X141" s="40" t="n">
        <f aca="false">W141*12*$B$18/Assumptions!$C$18</f>
        <v>60831.7261469898</v>
      </c>
      <c r="Y141" s="40" t="n">
        <f aca="false">W141*12*$B$19/Assumptions!$C$18</f>
        <v>76039.6576837373</v>
      </c>
      <c r="Z141" s="40" t="n">
        <f aca="false">J141*(T141+Assumptions!$C$16)</f>
        <v>148625</v>
      </c>
      <c r="AA141" s="56" t="n">
        <f aca="false">IF(ISNUMBER(F141),F141,IF(H141&gt;=2000,4,3))</f>
        <v>3</v>
      </c>
      <c r="AB141" s="40" t="n">
        <f aca="false">IFERROR(INDEX($E$18:$H$25,MATCH(D141,$D$18:$D$25,0),1+IF(AA141&gt;=4,2,0)+IF(Q141="Y",1,0)),0)</f>
        <v>45000</v>
      </c>
      <c r="AC141" s="42" t="n">
        <f aca="false">IFERROR(AB141/X141,0)</f>
        <v>0.739745571106513</v>
      </c>
      <c r="AD141" s="57" t="str">
        <f aca="false">IF(ISNUMBER(SEARCH("Mobile",E141)),"EXCLUDED",IF(AB141&gt;=Y141,"PASS",IF(AB141&gt;=X141,"MARGINAL","FAIL")))</f>
        <v>FAIL</v>
      </c>
      <c r="AE141" s="35" t="s">
        <v>546</v>
      </c>
    </row>
    <row r="142" customFormat="false" ht="15" hidden="false" customHeight="false" outlineLevel="0" collapsed="false">
      <c r="A142" s="27" t="s">
        <v>770</v>
      </c>
      <c r="B142" s="27" t="s">
        <v>231</v>
      </c>
      <c r="C142" s="27" t="s">
        <v>82</v>
      </c>
      <c r="D142" s="27" t="s">
        <v>482</v>
      </c>
      <c r="E142" s="27" t="s">
        <v>506</v>
      </c>
      <c r="F142" s="27" t="n">
        <v>3</v>
      </c>
      <c r="G142" s="27" t="n">
        <v>2.5</v>
      </c>
      <c r="H142" s="52" t="n">
        <v>1505</v>
      </c>
      <c r="I142" s="13" t="n">
        <v>1962</v>
      </c>
      <c r="J142" s="19" t="n">
        <v>385000</v>
      </c>
      <c r="K142" s="13" t="n">
        <v>15</v>
      </c>
      <c r="L142" s="27" t="s">
        <v>771</v>
      </c>
      <c r="M142" s="19" t="n">
        <v>249000</v>
      </c>
      <c r="N142" s="19" t="n">
        <v>225371</v>
      </c>
      <c r="O142" s="27" t="s">
        <v>453</v>
      </c>
      <c r="P142" s="27" t="s">
        <v>154</v>
      </c>
      <c r="Q142" s="27" t="s">
        <v>154</v>
      </c>
      <c r="R142" s="27" t="s">
        <v>69</v>
      </c>
      <c r="S142" s="27" t="s">
        <v>633</v>
      </c>
      <c r="T142" s="28" t="n">
        <f aca="false">Assumptions!$C$15</f>
        <v>0.25</v>
      </c>
      <c r="U142" s="21" t="n">
        <f aca="false">J142*(1-T142)</f>
        <v>288750</v>
      </c>
      <c r="V142" s="29" t="n">
        <f aca="false">IF((1-T142)&gt;0.75,Assumptions!$C$11,IF((1-T142)&gt;0.7,Assumptions!$C$12,Assumptions!$C$13))</f>
        <v>0.0725</v>
      </c>
      <c r="W142" s="21" t="n">
        <f aca="false">PMT(V142/12,Assumptions!$C$14,-U142)+J142*INDEX(Assumptions!$C$28:$C$34,MATCH(C142,Assumptions!$B$28:$B$34,0))/12+(INDEX(Assumptions!$D$28:$D$34,MATCH(C142,Assumptions!$B$28:$B$34,0))+INDEX(Assumptions!$C$22:$C$25,MATCH(R142,Assumptions!$B$22:$B$25,0)))/12</f>
        <v>3069.57567532892</v>
      </c>
      <c r="X142" s="21" t="n">
        <f aca="false">W142*12*$B$18/Assumptions!$C$18</f>
        <v>46043.6351299338</v>
      </c>
      <c r="Y142" s="21" t="n">
        <f aca="false">W142*12*$B$19/Assumptions!$C$18</f>
        <v>57554.5439124173</v>
      </c>
      <c r="Z142" s="21" t="n">
        <f aca="false">J142*(T142+Assumptions!$C$16)</f>
        <v>111650</v>
      </c>
      <c r="AA142" s="53" t="n">
        <f aca="false">IF(ISNUMBER(F142),F142,IF(H142&gt;=2000,4,3))</f>
        <v>3</v>
      </c>
      <c r="AB142" s="21" t="n">
        <f aca="false">IFERROR(INDEX($E$18:$H$25,MATCH(D142,$D$18:$D$25,0),1+IF(AA142&gt;=4,2,0)+IF(Q142="Y",1,0)),0)</f>
        <v>34000</v>
      </c>
      <c r="AC142" s="30" t="n">
        <f aca="false">IFERROR(AB142/X142,0)</f>
        <v>0.738429967661176</v>
      </c>
      <c r="AD142" s="4" t="str">
        <f aca="false">IF(ISNUMBER(SEARCH("Mobile",E142)),"EXCLUDED",IF(AB142&gt;=Y142,"PASS",IF(AB142&gt;=X142,"MARGINAL","FAIL")))</f>
        <v>FAIL</v>
      </c>
      <c r="AE142" s="26"/>
    </row>
    <row r="143" customFormat="false" ht="23.85" hidden="false" customHeight="false" outlineLevel="0" collapsed="false">
      <c r="A143" s="36" t="s">
        <v>772</v>
      </c>
      <c r="B143" s="36" t="s">
        <v>579</v>
      </c>
      <c r="C143" s="36" t="s">
        <v>18</v>
      </c>
      <c r="D143" s="36" t="s">
        <v>484</v>
      </c>
      <c r="E143" s="36" t="s">
        <v>552</v>
      </c>
      <c r="F143" s="36"/>
      <c r="G143" s="36"/>
      <c r="H143" s="55" t="n">
        <v>3633</v>
      </c>
      <c r="I143" s="34" t="n">
        <v>1996</v>
      </c>
      <c r="J143" s="37" t="n">
        <v>625000</v>
      </c>
      <c r="K143" s="34" t="n">
        <v>108</v>
      </c>
      <c r="L143" s="36" t="s">
        <v>773</v>
      </c>
      <c r="M143" s="37" t="n">
        <v>320000</v>
      </c>
      <c r="N143" s="37" t="n">
        <v>618738</v>
      </c>
      <c r="O143" s="36" t="s">
        <v>458</v>
      </c>
      <c r="P143" s="36" t="s">
        <v>154</v>
      </c>
      <c r="Q143" s="36" t="s">
        <v>154</v>
      </c>
      <c r="R143" s="36" t="s">
        <v>69</v>
      </c>
      <c r="S143" s="36" t="s">
        <v>532</v>
      </c>
      <c r="T143" s="39" t="n">
        <f aca="false">Assumptions!$C$15</f>
        <v>0.25</v>
      </c>
      <c r="U143" s="40" t="n">
        <f aca="false">J143*(1-T143)</f>
        <v>468750</v>
      </c>
      <c r="V143" s="41" t="n">
        <f aca="false">IF((1-T143)&gt;0.75,Assumptions!$C$11,IF((1-T143)&gt;0.7,Assumptions!$C$12,Assumptions!$C$13))</f>
        <v>0.0725</v>
      </c>
      <c r="W143" s="40" t="n">
        <f aca="false">PMT(V143/12,Assumptions!$C$14,-U143)+J143*INDEX(Assumptions!$C$28:$C$34,MATCH(C143,Assumptions!$B$28:$B$34,0))/12+(INDEX(Assumptions!$D$28:$D$34,MATCH(C143,Assumptions!$B$28:$B$34,0))+INDEX(Assumptions!$C$22:$C$25,MATCH(R143,Assumptions!$B$22:$B$25,0)))/12</f>
        <v>4697.7013127634</v>
      </c>
      <c r="X143" s="40" t="n">
        <f aca="false">W143*12*$B$18/Assumptions!$C$18</f>
        <v>70465.519691451</v>
      </c>
      <c r="Y143" s="40" t="n">
        <f aca="false">W143*12*$B$19/Assumptions!$C$18</f>
        <v>88081.8996143138</v>
      </c>
      <c r="Z143" s="40" t="n">
        <f aca="false">J143*(T143+Assumptions!$C$16)</f>
        <v>181250</v>
      </c>
      <c r="AA143" s="56" t="n">
        <f aca="false">IF(ISNUMBER(F143),F143,IF(H143&gt;=2000,4,3))</f>
        <v>4</v>
      </c>
      <c r="AB143" s="40" t="n">
        <f aca="false">IFERROR(INDEX($E$18:$H$25,MATCH(D143,$D$18:$D$25,0),1+IF(AA143&gt;=4,2,0)+IF(Q143="Y",1,0)),0)</f>
        <v>52000</v>
      </c>
      <c r="AC143" s="42" t="n">
        <f aca="false">IFERROR(AB143/X143,0)</f>
        <v>0.737949570622534</v>
      </c>
      <c r="AD143" s="57" t="str">
        <f aca="false">IF(ISNUMBER(SEARCH("Mobile",E143)),"EXCLUDED",IF(AB143&gt;=Y143,"PASS",IF(AB143&gt;=X143,"MARGINAL","FAIL")))</f>
        <v>FAIL</v>
      </c>
      <c r="AE143" s="35" t="s">
        <v>546</v>
      </c>
    </row>
    <row r="144" customFormat="false" ht="15" hidden="false" customHeight="false" outlineLevel="0" collapsed="false">
      <c r="A144" s="27" t="s">
        <v>774</v>
      </c>
      <c r="B144" s="27" t="s">
        <v>514</v>
      </c>
      <c r="C144" s="27" t="s">
        <v>82</v>
      </c>
      <c r="D144" s="27" t="s">
        <v>481</v>
      </c>
      <c r="E144" s="27" t="s">
        <v>506</v>
      </c>
      <c r="F144" s="27" t="n">
        <v>3</v>
      </c>
      <c r="G144" s="27" t="n">
        <v>2</v>
      </c>
      <c r="H144" s="52" t="n">
        <v>2006</v>
      </c>
      <c r="I144" s="13" t="n">
        <v>1956</v>
      </c>
      <c r="J144" s="19" t="n">
        <v>455000</v>
      </c>
      <c r="K144" s="13" t="n">
        <v>156</v>
      </c>
      <c r="L144" s="27" t="s">
        <v>775</v>
      </c>
      <c r="M144" s="19" t="n">
        <v>119000</v>
      </c>
      <c r="N144" s="19" t="n">
        <v>452247</v>
      </c>
      <c r="O144" s="27" t="s">
        <v>515</v>
      </c>
      <c r="P144" s="27" t="s">
        <v>154</v>
      </c>
      <c r="Q144" s="27" t="s">
        <v>154</v>
      </c>
      <c r="R144" s="27" t="s">
        <v>71</v>
      </c>
      <c r="S144" s="27" t="s">
        <v>516</v>
      </c>
      <c r="T144" s="28" t="n">
        <f aca="false">Assumptions!$C$15</f>
        <v>0.25</v>
      </c>
      <c r="U144" s="21" t="n">
        <f aca="false">J144*(1-T144)</f>
        <v>341250</v>
      </c>
      <c r="V144" s="29" t="n">
        <f aca="false">IF((1-T144)&gt;0.75,Assumptions!$C$11,IF((1-T144)&gt;0.7,Assumptions!$C$12,Assumptions!$C$13))</f>
        <v>0.0725</v>
      </c>
      <c r="W144" s="21" t="n">
        <f aca="false">PMT(V144/12,Assumptions!$C$14,-U144)+J144*INDEX(Assumptions!$C$28:$C$34,MATCH(C144,Assumptions!$B$28:$B$34,0))/12+(INDEX(Assumptions!$D$28:$D$34,MATCH(C144,Assumptions!$B$28:$B$34,0))+INDEX(Assumptions!$C$22:$C$25,MATCH(R144,Assumptions!$B$22:$B$25,0)))/12</f>
        <v>3798.13488902509</v>
      </c>
      <c r="X144" s="21" t="n">
        <f aca="false">W144*12*$B$18/Assumptions!$C$18</f>
        <v>56972.0233353763</v>
      </c>
      <c r="Y144" s="21" t="n">
        <f aca="false">W144*12*$B$19/Assumptions!$C$18</f>
        <v>71215.0291692204</v>
      </c>
      <c r="Z144" s="21" t="n">
        <f aca="false">J144*(T144+Assumptions!$C$16)</f>
        <v>131950</v>
      </c>
      <c r="AA144" s="53" t="n">
        <f aca="false">IF(ISNUMBER(F144),F144,IF(H144&gt;=2000,4,3))</f>
        <v>3</v>
      </c>
      <c r="AB144" s="21" t="n">
        <f aca="false">IFERROR(INDEX($E$18:$H$25,MATCH(D144,$D$18:$D$25,0),1+IF(AA144&gt;=4,2,0)+IF(Q144="Y",1,0)),0)</f>
        <v>42000</v>
      </c>
      <c r="AC144" s="30" t="n">
        <f aca="false">IFERROR(AB144/X144,0)</f>
        <v>0.737203938725491</v>
      </c>
      <c r="AD144" s="4" t="str">
        <f aca="false">IF(ISNUMBER(SEARCH("Mobile",E144)),"EXCLUDED",IF(AB144&gt;=Y144,"PASS",IF(AB144&gt;=X144,"MARGINAL","FAIL")))</f>
        <v>FAIL</v>
      </c>
      <c r="AE144" s="26"/>
    </row>
    <row r="145" customFormat="false" ht="15" hidden="false" customHeight="false" outlineLevel="0" collapsed="false">
      <c r="A145" s="36" t="s">
        <v>776</v>
      </c>
      <c r="B145" s="36" t="s">
        <v>595</v>
      </c>
      <c r="C145" s="36" t="s">
        <v>80</v>
      </c>
      <c r="D145" s="36" t="s">
        <v>480</v>
      </c>
      <c r="E145" s="36" t="s">
        <v>506</v>
      </c>
      <c r="F145" s="36" t="n">
        <v>3</v>
      </c>
      <c r="G145" s="36" t="n">
        <v>2</v>
      </c>
      <c r="H145" s="55" t="n">
        <v>1556</v>
      </c>
      <c r="I145" s="34" t="n">
        <v>1985</v>
      </c>
      <c r="J145" s="37" t="n">
        <v>409000</v>
      </c>
      <c r="K145" s="34" t="n">
        <v>65</v>
      </c>
      <c r="L145" s="36" t="s">
        <v>777</v>
      </c>
      <c r="M145" s="37" t="n">
        <v>200000</v>
      </c>
      <c r="N145" s="37" t="n">
        <v>405398</v>
      </c>
      <c r="O145" s="36" t="s">
        <v>448</v>
      </c>
      <c r="P145" s="36" t="s">
        <v>154</v>
      </c>
      <c r="Q145" s="36" t="s">
        <v>154</v>
      </c>
      <c r="R145" s="36" t="s">
        <v>69</v>
      </c>
      <c r="S145" s="36" t="s">
        <v>597</v>
      </c>
      <c r="T145" s="39" t="n">
        <f aca="false">Assumptions!$C$15</f>
        <v>0.25</v>
      </c>
      <c r="U145" s="40" t="n">
        <f aca="false">J145*(1-T145)</f>
        <v>306750</v>
      </c>
      <c r="V145" s="41" t="n">
        <f aca="false">IF((1-T145)&gt;0.75,Assumptions!$C$11,IF((1-T145)&gt;0.7,Assumptions!$C$12,Assumptions!$C$13))</f>
        <v>0.0725</v>
      </c>
      <c r="W145" s="40" t="n">
        <f aca="false">PMT(V145/12,Assumptions!$C$14,-U145)+J145*INDEX(Assumptions!$C$28:$C$34,MATCH(C145,Assumptions!$B$28:$B$34,0))/12+(INDEX(Assumptions!$D$28:$D$34,MATCH(C145,Assumptions!$B$28:$B$34,0))+INDEX(Assumptions!$C$22:$C$25,MATCH(R145,Assumptions!$B$22:$B$25,0)))/12</f>
        <v>3270.49240573904</v>
      </c>
      <c r="X145" s="40" t="n">
        <f aca="false">W145*12*$B$18/Assumptions!$C$18</f>
        <v>49057.3860860855</v>
      </c>
      <c r="Y145" s="40" t="n">
        <f aca="false">W145*12*$B$19/Assumptions!$C$18</f>
        <v>61321.7326076069</v>
      </c>
      <c r="Z145" s="40" t="n">
        <f aca="false">J145*(T145+Assumptions!$C$16)</f>
        <v>118610</v>
      </c>
      <c r="AA145" s="56" t="n">
        <f aca="false">IF(ISNUMBER(F145),F145,IF(H145&gt;=2000,4,3))</f>
        <v>3</v>
      </c>
      <c r="AB145" s="40" t="n">
        <f aca="false">IFERROR(INDEX($E$18:$H$25,MATCH(D145,$D$18:$D$25,0),1+IF(AA145&gt;=4,2,0)+IF(Q145="Y",1,0)),0)</f>
        <v>36000</v>
      </c>
      <c r="AC145" s="42" t="n">
        <f aca="false">IFERROR(AB145/X145,0)</f>
        <v>0.733834451285836</v>
      </c>
      <c r="AD145" s="57" t="str">
        <f aca="false">IF(ISNUMBER(SEARCH("Mobile",E145)),"EXCLUDED",IF(AB145&gt;=Y145,"PASS",IF(AB145&gt;=X145,"MARGINAL","FAIL")))</f>
        <v>FAIL</v>
      </c>
      <c r="AE145" s="35"/>
    </row>
    <row r="146" customFormat="false" ht="15" hidden="false" customHeight="false" outlineLevel="0" collapsed="false">
      <c r="A146" s="27" t="s">
        <v>778</v>
      </c>
      <c r="B146" s="27" t="s">
        <v>644</v>
      </c>
      <c r="C146" s="27" t="s">
        <v>80</v>
      </c>
      <c r="D146" s="27" t="s">
        <v>480</v>
      </c>
      <c r="E146" s="27" t="s">
        <v>506</v>
      </c>
      <c r="F146" s="27" t="n">
        <v>3</v>
      </c>
      <c r="G146" s="27" t="n">
        <v>2</v>
      </c>
      <c r="H146" s="52" t="n">
        <v>1920</v>
      </c>
      <c r="I146" s="13" t="n">
        <v>2016</v>
      </c>
      <c r="J146" s="19" t="n">
        <v>410000</v>
      </c>
      <c r="K146" s="13" t="n">
        <v>12</v>
      </c>
      <c r="L146" s="27"/>
      <c r="M146" s="19"/>
      <c r="N146" s="19" t="n">
        <v>498055</v>
      </c>
      <c r="O146" s="27" t="s">
        <v>453</v>
      </c>
      <c r="P146" s="27" t="s">
        <v>154</v>
      </c>
      <c r="Q146" s="27" t="s">
        <v>154</v>
      </c>
      <c r="R146" s="27" t="s">
        <v>69</v>
      </c>
      <c r="S146" s="27" t="s">
        <v>597</v>
      </c>
      <c r="T146" s="28" t="n">
        <f aca="false">Assumptions!$C$15</f>
        <v>0.25</v>
      </c>
      <c r="U146" s="21" t="n">
        <f aca="false">J146*(1-T146)</f>
        <v>307500</v>
      </c>
      <c r="V146" s="29" t="n">
        <f aca="false">IF((1-T146)&gt;0.75,Assumptions!$C$11,IF((1-T146)&gt;0.7,Assumptions!$C$12,Assumptions!$C$13))</f>
        <v>0.0725</v>
      </c>
      <c r="W146" s="21" t="n">
        <f aca="false">PMT(V146/12,Assumptions!$C$14,-U146)+J146*INDEX(Assumptions!$C$28:$C$34,MATCH(C146,Assumptions!$B$28:$B$34,0))/12+(INDEX(Assumptions!$D$28:$D$34,MATCH(C146,Assumptions!$B$28:$B$34,0))+INDEX(Assumptions!$C$22:$C$25,MATCH(R146,Assumptions!$B$22:$B$25,0)))/12</f>
        <v>3276.85872783946</v>
      </c>
      <c r="X146" s="21" t="n">
        <f aca="false">W146*12*$B$18/Assumptions!$C$18</f>
        <v>49152.8809175918</v>
      </c>
      <c r="Y146" s="21" t="n">
        <f aca="false">W146*12*$B$19/Assumptions!$C$18</f>
        <v>61441.1011469898</v>
      </c>
      <c r="Z146" s="21" t="n">
        <f aca="false">J146*(T146+Assumptions!$C$16)</f>
        <v>118900</v>
      </c>
      <c r="AA146" s="53" t="n">
        <f aca="false">IF(ISNUMBER(F146),F146,IF(H146&gt;=2000,4,3))</f>
        <v>3</v>
      </c>
      <c r="AB146" s="21" t="n">
        <f aca="false">IFERROR(INDEX($E$18:$H$25,MATCH(D146,$D$18:$D$25,0),1+IF(AA146&gt;=4,2,0)+IF(Q146="Y",1,0)),0)</f>
        <v>36000</v>
      </c>
      <c r="AC146" s="30" t="n">
        <f aca="false">IFERROR(AB146/X146,0)</f>
        <v>0.732408748540222</v>
      </c>
      <c r="AD146" s="4" t="str">
        <f aca="false">IF(ISNUMBER(SEARCH("Mobile",E146)),"EXCLUDED",IF(AB146&gt;=Y146,"PASS",IF(AB146&gt;=X146,"MARGINAL","FAIL")))</f>
        <v>FAIL</v>
      </c>
      <c r="AE146" s="26"/>
    </row>
    <row r="147" customFormat="false" ht="15" hidden="false" customHeight="false" outlineLevel="0" collapsed="false">
      <c r="A147" s="36" t="s">
        <v>779</v>
      </c>
      <c r="B147" s="36" t="s">
        <v>514</v>
      </c>
      <c r="C147" s="36" t="s">
        <v>82</v>
      </c>
      <c r="D147" s="36" t="s">
        <v>481</v>
      </c>
      <c r="E147" s="36" t="s">
        <v>506</v>
      </c>
      <c r="F147" s="36" t="n">
        <v>3</v>
      </c>
      <c r="G147" s="36" t="n">
        <v>2.5</v>
      </c>
      <c r="H147" s="55" t="n">
        <v>1502</v>
      </c>
      <c r="I147" s="34" t="n">
        <v>1956</v>
      </c>
      <c r="J147" s="37" t="n">
        <v>459900</v>
      </c>
      <c r="K147" s="34" t="n">
        <v>19</v>
      </c>
      <c r="L147" s="36" t="s">
        <v>780</v>
      </c>
      <c r="M147" s="37" t="n">
        <v>315000</v>
      </c>
      <c r="N147" s="37" t="n">
        <v>405800</v>
      </c>
      <c r="O147" s="36" t="s">
        <v>453</v>
      </c>
      <c r="P147" s="36" t="s">
        <v>154</v>
      </c>
      <c r="Q147" s="36" t="s">
        <v>154</v>
      </c>
      <c r="R147" s="36" t="s">
        <v>71</v>
      </c>
      <c r="S147" s="36" t="s">
        <v>516</v>
      </c>
      <c r="T147" s="39" t="n">
        <f aca="false">Assumptions!$C$15</f>
        <v>0.25</v>
      </c>
      <c r="U147" s="40" t="n">
        <f aca="false">J147*(1-T147)</f>
        <v>344925</v>
      </c>
      <c r="V147" s="41" t="n">
        <f aca="false">IF((1-T147)&gt;0.75,Assumptions!$C$11,IF((1-T147)&gt;0.7,Assumptions!$C$12,Assumptions!$C$13))</f>
        <v>0.0725</v>
      </c>
      <c r="W147" s="40" t="n">
        <f aca="false">PMT(V147/12,Assumptions!$C$14,-U147)+J147*INDEX(Assumptions!$C$28:$C$34,MATCH(C147,Assumptions!$B$28:$B$34,0))/12+(INDEX(Assumptions!$D$28:$D$34,MATCH(C147,Assumptions!$B$28:$B$34,0))+INDEX(Assumptions!$C$22:$C$25,MATCH(R147,Assumptions!$B$22:$B$25,0)))/12</f>
        <v>3828.71736731715</v>
      </c>
      <c r="X147" s="40" t="n">
        <f aca="false">W147*12*$B$18/Assumptions!$C$18</f>
        <v>57430.7605097573</v>
      </c>
      <c r="Y147" s="40" t="n">
        <f aca="false">W147*12*$B$19/Assumptions!$C$18</f>
        <v>71788.4506371966</v>
      </c>
      <c r="Z147" s="40" t="n">
        <f aca="false">J147*(T147+Assumptions!$C$16)</f>
        <v>133371</v>
      </c>
      <c r="AA147" s="56" t="n">
        <f aca="false">IF(ISNUMBER(F147),F147,IF(H147&gt;=2000,4,3))</f>
        <v>3</v>
      </c>
      <c r="AB147" s="40" t="n">
        <f aca="false">IFERROR(INDEX($E$18:$H$25,MATCH(D147,$D$18:$D$25,0),1+IF(AA147&gt;=4,2,0)+IF(Q147="Y",1,0)),0)</f>
        <v>42000</v>
      </c>
      <c r="AC147" s="42" t="n">
        <f aca="false">IFERROR(AB147/X147,0)</f>
        <v>0.731315407060722</v>
      </c>
      <c r="AD147" s="57" t="str">
        <f aca="false">IF(ISNUMBER(SEARCH("Mobile",E147)),"EXCLUDED",IF(AB147&gt;=Y147,"PASS",IF(AB147&gt;=X147,"MARGINAL","FAIL")))</f>
        <v>FAIL</v>
      </c>
      <c r="AE147" s="35"/>
    </row>
    <row r="148" customFormat="false" ht="15" hidden="false" customHeight="false" outlineLevel="0" collapsed="false">
      <c r="A148" s="27" t="s">
        <v>781</v>
      </c>
      <c r="B148" s="27" t="s">
        <v>661</v>
      </c>
      <c r="C148" s="27" t="s">
        <v>82</v>
      </c>
      <c r="D148" s="27" t="s">
        <v>482</v>
      </c>
      <c r="E148" s="27" t="s">
        <v>506</v>
      </c>
      <c r="F148" s="27" t="n">
        <v>3</v>
      </c>
      <c r="G148" s="27" t="n">
        <v>2</v>
      </c>
      <c r="H148" s="52" t="n">
        <v>1577</v>
      </c>
      <c r="I148" s="13" t="n">
        <v>1967</v>
      </c>
      <c r="J148" s="19" t="n">
        <v>389900</v>
      </c>
      <c r="K148" s="13" t="n">
        <v>73</v>
      </c>
      <c r="L148" s="27" t="s">
        <v>782</v>
      </c>
      <c r="M148" s="19" t="n">
        <v>51900</v>
      </c>
      <c r="N148" s="19" t="n">
        <v>379201</v>
      </c>
      <c r="O148" s="27" t="s">
        <v>515</v>
      </c>
      <c r="P148" s="27" t="s">
        <v>154</v>
      </c>
      <c r="Q148" s="27" t="s">
        <v>154</v>
      </c>
      <c r="R148" s="27" t="s">
        <v>69</v>
      </c>
      <c r="S148" s="27" t="s">
        <v>516</v>
      </c>
      <c r="T148" s="28" t="n">
        <f aca="false">Assumptions!$C$15</f>
        <v>0.25</v>
      </c>
      <c r="U148" s="21" t="n">
        <f aca="false">J148*(1-T148)</f>
        <v>292425</v>
      </c>
      <c r="V148" s="29" t="n">
        <f aca="false">IF((1-T148)&gt;0.75,Assumptions!$C$11,IF((1-T148)&gt;0.7,Assumptions!$C$12,Assumptions!$C$13))</f>
        <v>0.0725</v>
      </c>
      <c r="W148" s="21" t="n">
        <f aca="false">PMT(V148/12,Assumptions!$C$14,-U148)+J148*INDEX(Assumptions!$C$28:$C$34,MATCH(C148,Assumptions!$B$28:$B$34,0))/12+(INDEX(Assumptions!$D$28:$D$34,MATCH(C148,Assumptions!$B$28:$B$34,0))+INDEX(Assumptions!$C$22:$C$25,MATCH(R148,Assumptions!$B$22:$B$25,0)))/12</f>
        <v>3100.15815362099</v>
      </c>
      <c r="X148" s="21" t="n">
        <f aca="false">W148*12*$B$18/Assumptions!$C$18</f>
        <v>46502.3723043148</v>
      </c>
      <c r="Y148" s="21" t="n">
        <f aca="false">W148*12*$B$19/Assumptions!$C$18</f>
        <v>58127.9653803935</v>
      </c>
      <c r="Z148" s="21" t="n">
        <f aca="false">J148*(T148+Assumptions!$C$16)</f>
        <v>113071</v>
      </c>
      <c r="AA148" s="53" t="n">
        <f aca="false">IF(ISNUMBER(F148),F148,IF(H148&gt;=2000,4,3))</f>
        <v>3</v>
      </c>
      <c r="AB148" s="21" t="n">
        <f aca="false">IFERROR(INDEX($E$18:$H$25,MATCH(D148,$D$18:$D$25,0),1+IF(AA148&gt;=4,2,0)+IF(Q148="Y",1,0)),0)</f>
        <v>34000</v>
      </c>
      <c r="AC148" s="30" t="n">
        <f aca="false">IFERROR(AB148/X148,0)</f>
        <v>0.731145494632008</v>
      </c>
      <c r="AD148" s="4" t="str">
        <f aca="false">IF(ISNUMBER(SEARCH("Mobile",E148)),"EXCLUDED",IF(AB148&gt;=Y148,"PASS",IF(AB148&gt;=X148,"MARGINAL","FAIL")))</f>
        <v>FAIL</v>
      </c>
      <c r="AE148" s="26"/>
    </row>
    <row r="149" customFormat="false" ht="15" hidden="false" customHeight="false" outlineLevel="0" collapsed="false">
      <c r="A149" s="36" t="s">
        <v>783</v>
      </c>
      <c r="B149" s="36" t="s">
        <v>661</v>
      </c>
      <c r="C149" s="36" t="s">
        <v>82</v>
      </c>
      <c r="D149" s="36" t="s">
        <v>482</v>
      </c>
      <c r="E149" s="36" t="s">
        <v>506</v>
      </c>
      <c r="F149" s="36" t="n">
        <v>3</v>
      </c>
      <c r="G149" s="36" t="n">
        <v>2</v>
      </c>
      <c r="H149" s="55" t="n">
        <v>1470</v>
      </c>
      <c r="I149" s="34" t="n">
        <v>2006</v>
      </c>
      <c r="J149" s="37" t="n">
        <v>389900</v>
      </c>
      <c r="K149" s="34" t="n">
        <v>63</v>
      </c>
      <c r="L149" s="36" t="s">
        <v>784</v>
      </c>
      <c r="M149" s="37" t="n">
        <v>150000</v>
      </c>
      <c r="N149" s="37" t="n">
        <v>356821</v>
      </c>
      <c r="O149" s="36" t="s">
        <v>463</v>
      </c>
      <c r="P149" s="36" t="s">
        <v>154</v>
      </c>
      <c r="Q149" s="36" t="s">
        <v>154</v>
      </c>
      <c r="R149" s="36" t="s">
        <v>69</v>
      </c>
      <c r="S149" s="36" t="s">
        <v>516</v>
      </c>
      <c r="T149" s="39" t="n">
        <f aca="false">Assumptions!$C$15</f>
        <v>0.25</v>
      </c>
      <c r="U149" s="40" t="n">
        <f aca="false">J149*(1-T149)</f>
        <v>292425</v>
      </c>
      <c r="V149" s="41" t="n">
        <f aca="false">IF((1-T149)&gt;0.75,Assumptions!$C$11,IF((1-T149)&gt;0.7,Assumptions!$C$12,Assumptions!$C$13))</f>
        <v>0.0725</v>
      </c>
      <c r="W149" s="40" t="n">
        <f aca="false">PMT(V149/12,Assumptions!$C$14,-U149)+J149*INDEX(Assumptions!$C$28:$C$34,MATCH(C149,Assumptions!$B$28:$B$34,0))/12+(INDEX(Assumptions!$D$28:$D$34,MATCH(C149,Assumptions!$B$28:$B$34,0))+INDEX(Assumptions!$C$22:$C$25,MATCH(R149,Assumptions!$B$22:$B$25,0)))/12</f>
        <v>3100.15815362099</v>
      </c>
      <c r="X149" s="40" t="n">
        <f aca="false">W149*12*$B$18/Assumptions!$C$18</f>
        <v>46502.3723043148</v>
      </c>
      <c r="Y149" s="40" t="n">
        <f aca="false">W149*12*$B$19/Assumptions!$C$18</f>
        <v>58127.9653803935</v>
      </c>
      <c r="Z149" s="40" t="n">
        <f aca="false">J149*(T149+Assumptions!$C$16)</f>
        <v>113071</v>
      </c>
      <c r="AA149" s="56" t="n">
        <f aca="false">IF(ISNUMBER(F149),F149,IF(H149&gt;=2000,4,3))</f>
        <v>3</v>
      </c>
      <c r="AB149" s="40" t="n">
        <f aca="false">IFERROR(INDEX($E$18:$H$25,MATCH(D149,$D$18:$D$25,0),1+IF(AA149&gt;=4,2,0)+IF(Q149="Y",1,0)),0)</f>
        <v>34000</v>
      </c>
      <c r="AC149" s="42" t="n">
        <f aca="false">IFERROR(AB149/X149,0)</f>
        <v>0.731145494632008</v>
      </c>
      <c r="AD149" s="57" t="str">
        <f aca="false">IF(ISNUMBER(SEARCH("Mobile",E149)),"EXCLUDED",IF(AB149&gt;=Y149,"PASS",IF(AB149&gt;=X149,"MARGINAL","FAIL")))</f>
        <v>FAIL</v>
      </c>
      <c r="AE149" s="35"/>
    </row>
    <row r="150" customFormat="false" ht="23.85" hidden="false" customHeight="false" outlineLevel="0" collapsed="false">
      <c r="A150" s="27" t="s">
        <v>785</v>
      </c>
      <c r="B150" s="27" t="s">
        <v>310</v>
      </c>
      <c r="C150" s="27" t="s">
        <v>18</v>
      </c>
      <c r="D150" s="27" t="s">
        <v>484</v>
      </c>
      <c r="E150" s="27" t="s">
        <v>506</v>
      </c>
      <c r="F150" s="27"/>
      <c r="G150" s="27" t="n">
        <v>2</v>
      </c>
      <c r="H150" s="52" t="n">
        <v>1230</v>
      </c>
      <c r="I150" s="13" t="n">
        <v>1959</v>
      </c>
      <c r="J150" s="19" t="n">
        <v>489000</v>
      </c>
      <c r="K150" s="13" t="n">
        <v>13</v>
      </c>
      <c r="L150" s="27" t="s">
        <v>786</v>
      </c>
      <c r="M150" s="19" t="n">
        <v>272000</v>
      </c>
      <c r="N150" s="19" t="n">
        <v>275166</v>
      </c>
      <c r="O150" s="27" t="s">
        <v>448</v>
      </c>
      <c r="P150" s="27" t="s">
        <v>154</v>
      </c>
      <c r="Q150" s="27" t="s">
        <v>154</v>
      </c>
      <c r="R150" s="27" t="s">
        <v>71</v>
      </c>
      <c r="S150" s="27" t="s">
        <v>520</v>
      </c>
      <c r="T150" s="28" t="n">
        <f aca="false">Assumptions!$C$15</f>
        <v>0.25</v>
      </c>
      <c r="U150" s="21" t="n">
        <f aca="false">J150*(1-T150)</f>
        <v>366750</v>
      </c>
      <c r="V150" s="29" t="n">
        <f aca="false">IF((1-T150)&gt;0.75,Assumptions!$C$11,IF((1-T150)&gt;0.7,Assumptions!$C$12,Assumptions!$C$13))</f>
        <v>0.0725</v>
      </c>
      <c r="W150" s="21" t="n">
        <f aca="false">PMT(V150/12,Assumptions!$C$14,-U150)+J150*INDEX(Assumptions!$C$28:$C$34,MATCH(C150,Assumptions!$B$28:$B$34,0))/12+(INDEX(Assumptions!$D$28:$D$34,MATCH(C150,Assumptions!$B$28:$B$34,0))+INDEX(Assumptions!$C$22:$C$25,MATCH(R150,Assumptions!$B$22:$B$25,0)))/12</f>
        <v>4112.21484043942</v>
      </c>
      <c r="X150" s="21" t="n">
        <f aca="false">W150*12*$B$18/Assumptions!$C$18</f>
        <v>61683.2226065912</v>
      </c>
      <c r="Y150" s="21" t="n">
        <f aca="false">W150*12*$B$19/Assumptions!$C$18</f>
        <v>77104.0282582391</v>
      </c>
      <c r="Z150" s="21" t="n">
        <f aca="false">J150*(T150+Assumptions!$C$16)</f>
        <v>141810</v>
      </c>
      <c r="AA150" s="53" t="n">
        <f aca="false">IF(ISNUMBER(F150),F150,IF(H150&gt;=2000,4,3))</f>
        <v>3</v>
      </c>
      <c r="AB150" s="21" t="n">
        <f aca="false">IFERROR(INDEX($E$18:$H$25,MATCH(D150,$D$18:$D$25,0),1+IF(AA150&gt;=4,2,0)+IF(Q150="Y",1,0)),0)</f>
        <v>45000</v>
      </c>
      <c r="AC150" s="30" t="n">
        <f aca="false">IFERROR(AB150/X150,0)</f>
        <v>0.729533868342207</v>
      </c>
      <c r="AD150" s="4" t="str">
        <f aca="false">IF(ISNUMBER(SEARCH("Mobile",E150)),"EXCLUDED",IF(AB150&gt;=Y150,"PASS",IF(AB150&gt;=X150,"MARGINAL","FAIL")))</f>
        <v>FAIL</v>
      </c>
      <c r="AE150" s="26" t="s">
        <v>546</v>
      </c>
    </row>
    <row r="151" customFormat="false" ht="15" hidden="false" customHeight="false" outlineLevel="0" collapsed="false">
      <c r="A151" s="36" t="s">
        <v>787</v>
      </c>
      <c r="B151" s="36" t="s">
        <v>644</v>
      </c>
      <c r="C151" s="36" t="s">
        <v>80</v>
      </c>
      <c r="D151" s="36" t="s">
        <v>480</v>
      </c>
      <c r="E151" s="36" t="s">
        <v>506</v>
      </c>
      <c r="F151" s="36" t="n">
        <v>3</v>
      </c>
      <c r="G151" s="36" t="n">
        <v>2</v>
      </c>
      <c r="H151" s="55" t="n">
        <v>1844</v>
      </c>
      <c r="I151" s="34" t="n">
        <v>2018</v>
      </c>
      <c r="J151" s="37" t="n">
        <v>415000</v>
      </c>
      <c r="K151" s="34" t="n">
        <v>67</v>
      </c>
      <c r="L151" s="36" t="s">
        <v>788</v>
      </c>
      <c r="M151" s="37" t="n">
        <v>249990</v>
      </c>
      <c r="N151" s="37" t="n">
        <v>399593</v>
      </c>
      <c r="O151" s="36" t="s">
        <v>448</v>
      </c>
      <c r="P151" s="36" t="s">
        <v>154</v>
      </c>
      <c r="Q151" s="36" t="s">
        <v>154</v>
      </c>
      <c r="R151" s="36" t="s">
        <v>69</v>
      </c>
      <c r="S151" s="36" t="s">
        <v>597</v>
      </c>
      <c r="T151" s="39" t="n">
        <f aca="false">Assumptions!$C$15</f>
        <v>0.25</v>
      </c>
      <c r="U151" s="40" t="n">
        <f aca="false">J151*(1-T151)</f>
        <v>311250</v>
      </c>
      <c r="V151" s="41" t="n">
        <f aca="false">IF((1-T151)&gt;0.75,Assumptions!$C$11,IF((1-T151)&gt;0.7,Assumptions!$C$12,Assumptions!$C$13))</f>
        <v>0.0725</v>
      </c>
      <c r="W151" s="40" t="n">
        <f aca="false">PMT(V151/12,Assumptions!$C$14,-U151)+J151*INDEX(Assumptions!$C$28:$C$34,MATCH(C151,Assumptions!$B$28:$B$34,0))/12+(INDEX(Assumptions!$D$28:$D$34,MATCH(C151,Assumptions!$B$28:$B$34,0))+INDEX(Assumptions!$C$22:$C$25,MATCH(R151,Assumptions!$B$22:$B$25,0)))/12</f>
        <v>3308.69033834156</v>
      </c>
      <c r="X151" s="40" t="n">
        <f aca="false">W151*12*$B$18/Assumptions!$C$18</f>
        <v>49630.3550751235</v>
      </c>
      <c r="Y151" s="40" t="n">
        <f aca="false">W151*12*$B$19/Assumptions!$C$18</f>
        <v>62037.9438439043</v>
      </c>
      <c r="Z151" s="40" t="n">
        <f aca="false">J151*(T151+Assumptions!$C$16)</f>
        <v>120350</v>
      </c>
      <c r="AA151" s="56" t="n">
        <f aca="false">IF(ISNUMBER(F151),F151,IF(H151&gt;=2000,4,3))</f>
        <v>3</v>
      </c>
      <c r="AB151" s="40" t="n">
        <f aca="false">IFERROR(INDEX($E$18:$H$25,MATCH(D151,$D$18:$D$25,0),1+IF(AA151&gt;=4,2,0)+IF(Q151="Y",1,0)),0)</f>
        <v>36000</v>
      </c>
      <c r="AC151" s="42" t="n">
        <f aca="false">IFERROR(AB151/X151,0)</f>
        <v>0.725362531569808</v>
      </c>
      <c r="AD151" s="57" t="str">
        <f aca="false">IF(ISNUMBER(SEARCH("Mobile",E151)),"EXCLUDED",IF(AB151&gt;=Y151,"PASS",IF(AB151&gt;=X151,"MARGINAL","FAIL")))</f>
        <v>FAIL</v>
      </c>
      <c r="AE151" s="35"/>
    </row>
    <row r="152" customFormat="false" ht="15" hidden="false" customHeight="false" outlineLevel="0" collapsed="false">
      <c r="A152" s="27" t="s">
        <v>789</v>
      </c>
      <c r="B152" s="27" t="s">
        <v>231</v>
      </c>
      <c r="C152" s="27" t="s">
        <v>82</v>
      </c>
      <c r="D152" s="27" t="s">
        <v>482</v>
      </c>
      <c r="E152" s="27" t="s">
        <v>506</v>
      </c>
      <c r="F152" s="27" t="n">
        <v>3</v>
      </c>
      <c r="G152" s="27" t="n">
        <v>2</v>
      </c>
      <c r="H152" s="52" t="n">
        <v>1303</v>
      </c>
      <c r="I152" s="13" t="n">
        <v>1990</v>
      </c>
      <c r="J152" s="19" t="n">
        <v>395000</v>
      </c>
      <c r="K152" s="13" t="n">
        <v>38</v>
      </c>
      <c r="L152" s="27" t="s">
        <v>790</v>
      </c>
      <c r="M152" s="19" t="n">
        <v>12300</v>
      </c>
      <c r="N152" s="19" t="n">
        <v>324835</v>
      </c>
      <c r="O152" s="27" t="s">
        <v>463</v>
      </c>
      <c r="P152" s="27" t="s">
        <v>154</v>
      </c>
      <c r="Q152" s="27" t="s">
        <v>154</v>
      </c>
      <c r="R152" s="27" t="s">
        <v>69</v>
      </c>
      <c r="S152" s="27" t="s">
        <v>633</v>
      </c>
      <c r="T152" s="28" t="n">
        <f aca="false">Assumptions!$C$15</f>
        <v>0.25</v>
      </c>
      <c r="U152" s="21" t="n">
        <f aca="false">J152*(1-T152)</f>
        <v>296250</v>
      </c>
      <c r="V152" s="29" t="n">
        <f aca="false">IF((1-T152)&gt;0.75,Assumptions!$C$11,IF((1-T152)&gt;0.7,Assumptions!$C$12,Assumptions!$C$13))</f>
        <v>0.0725</v>
      </c>
      <c r="W152" s="21" t="n">
        <f aca="false">PMT(V152/12,Assumptions!$C$14,-U152)+J152*INDEX(Assumptions!$C$28:$C$34,MATCH(C152,Assumptions!$B$28:$B$34,0))/12+(INDEX(Assumptions!$D$28:$D$34,MATCH(C152,Assumptions!$B$28:$B$34,0))+INDEX(Assumptions!$C$22:$C$25,MATCH(R152,Assumptions!$B$22:$B$25,0)))/12</f>
        <v>3131.98889633314</v>
      </c>
      <c r="X152" s="21" t="n">
        <f aca="false">W152*12*$B$18/Assumptions!$C$18</f>
        <v>46979.833444997</v>
      </c>
      <c r="Y152" s="21" t="n">
        <f aca="false">W152*12*$B$19/Assumptions!$C$18</f>
        <v>58724.7918062463</v>
      </c>
      <c r="Z152" s="21" t="n">
        <f aca="false">J152*(T152+Assumptions!$C$16)</f>
        <v>114550</v>
      </c>
      <c r="AA152" s="53" t="n">
        <f aca="false">IF(ISNUMBER(F152),F152,IF(H152&gt;=2000,4,3))</f>
        <v>3</v>
      </c>
      <c r="AB152" s="21" t="n">
        <f aca="false">IFERROR(INDEX($E$18:$H$25,MATCH(D152,$D$18:$D$25,0),1+IF(AA152&gt;=4,2,0)+IF(Q152="Y",1,0)),0)</f>
        <v>34000</v>
      </c>
      <c r="AC152" s="30" t="n">
        <f aca="false">IFERROR(AB152/X152,0)</f>
        <v>0.723714783701957</v>
      </c>
      <c r="AD152" s="4" t="str">
        <f aca="false">IF(ISNUMBER(SEARCH("Mobile",E152)),"EXCLUDED",IF(AB152&gt;=Y152,"PASS",IF(AB152&gt;=X152,"MARGINAL","FAIL")))</f>
        <v>FAIL</v>
      </c>
      <c r="AE152" s="26"/>
    </row>
    <row r="153" customFormat="false" ht="15" hidden="false" customHeight="false" outlineLevel="0" collapsed="false">
      <c r="A153" s="36" t="s">
        <v>791</v>
      </c>
      <c r="B153" s="36" t="s">
        <v>676</v>
      </c>
      <c r="C153" s="36" t="s">
        <v>82</v>
      </c>
      <c r="D153" s="36" t="s">
        <v>482</v>
      </c>
      <c r="E153" s="36" t="s">
        <v>506</v>
      </c>
      <c r="F153" s="36" t="n">
        <v>3</v>
      </c>
      <c r="G153" s="36" t="n">
        <v>2</v>
      </c>
      <c r="H153" s="55" t="n">
        <v>1684</v>
      </c>
      <c r="I153" s="34" t="n">
        <v>2016</v>
      </c>
      <c r="J153" s="37" t="n">
        <v>395000</v>
      </c>
      <c r="K153" s="34" t="n">
        <v>26</v>
      </c>
      <c r="L153" s="36" t="s">
        <v>792</v>
      </c>
      <c r="M153" s="37" t="n">
        <v>265000</v>
      </c>
      <c r="N153" s="37" t="n">
        <v>366911</v>
      </c>
      <c r="O153" s="36" t="s">
        <v>453</v>
      </c>
      <c r="P153" s="36" t="s">
        <v>154</v>
      </c>
      <c r="Q153" s="36" t="s">
        <v>154</v>
      </c>
      <c r="R153" s="36" t="s">
        <v>69</v>
      </c>
      <c r="S153" s="36" t="s">
        <v>633</v>
      </c>
      <c r="T153" s="39" t="n">
        <f aca="false">Assumptions!$C$15</f>
        <v>0.25</v>
      </c>
      <c r="U153" s="40" t="n">
        <f aca="false">J153*(1-T153)</f>
        <v>296250</v>
      </c>
      <c r="V153" s="41" t="n">
        <f aca="false">IF((1-T153)&gt;0.75,Assumptions!$C$11,IF((1-T153)&gt;0.7,Assumptions!$C$12,Assumptions!$C$13))</f>
        <v>0.0725</v>
      </c>
      <c r="W153" s="40" t="n">
        <f aca="false">PMT(V153/12,Assumptions!$C$14,-U153)+J153*INDEX(Assumptions!$C$28:$C$34,MATCH(C153,Assumptions!$B$28:$B$34,0))/12+(INDEX(Assumptions!$D$28:$D$34,MATCH(C153,Assumptions!$B$28:$B$34,0))+INDEX(Assumptions!$C$22:$C$25,MATCH(R153,Assumptions!$B$22:$B$25,0)))/12</f>
        <v>3131.98889633314</v>
      </c>
      <c r="X153" s="40" t="n">
        <f aca="false">W153*12*$B$18/Assumptions!$C$18</f>
        <v>46979.833444997</v>
      </c>
      <c r="Y153" s="40" t="n">
        <f aca="false">W153*12*$B$19/Assumptions!$C$18</f>
        <v>58724.7918062463</v>
      </c>
      <c r="Z153" s="40" t="n">
        <f aca="false">J153*(T153+Assumptions!$C$16)</f>
        <v>114550</v>
      </c>
      <c r="AA153" s="56" t="n">
        <f aca="false">IF(ISNUMBER(F153),F153,IF(H153&gt;=2000,4,3))</f>
        <v>3</v>
      </c>
      <c r="AB153" s="40" t="n">
        <f aca="false">IFERROR(INDEX($E$18:$H$25,MATCH(D153,$D$18:$D$25,0),1+IF(AA153&gt;=4,2,0)+IF(Q153="Y",1,0)),0)</f>
        <v>34000</v>
      </c>
      <c r="AC153" s="42" t="n">
        <f aca="false">IFERROR(AB153/X153,0)</f>
        <v>0.723714783701957</v>
      </c>
      <c r="AD153" s="57" t="str">
        <f aca="false">IF(ISNUMBER(SEARCH("Mobile",E153)),"EXCLUDED",IF(AB153&gt;=Y153,"PASS",IF(AB153&gt;=X153,"MARGINAL","FAIL")))</f>
        <v>FAIL</v>
      </c>
      <c r="AE153" s="35"/>
    </row>
    <row r="154" customFormat="false" ht="23.85" hidden="false" customHeight="false" outlineLevel="0" collapsed="false">
      <c r="A154" s="27" t="s">
        <v>793</v>
      </c>
      <c r="B154" s="27" t="s">
        <v>244</v>
      </c>
      <c r="C154" s="27" t="s">
        <v>18</v>
      </c>
      <c r="D154" s="27" t="s">
        <v>484</v>
      </c>
      <c r="E154" s="27" t="s">
        <v>506</v>
      </c>
      <c r="F154" s="27"/>
      <c r="G154" s="27" t="n">
        <v>2.5</v>
      </c>
      <c r="H154" s="52" t="n">
        <v>1596</v>
      </c>
      <c r="I154" s="13" t="n">
        <v>2023</v>
      </c>
      <c r="J154" s="19" t="n">
        <v>495000</v>
      </c>
      <c r="K154" s="13" t="n">
        <v>100</v>
      </c>
      <c r="L154" s="27" t="s">
        <v>794</v>
      </c>
      <c r="M154" s="19" t="n">
        <v>95000</v>
      </c>
      <c r="N154" s="19" t="n">
        <v>117285</v>
      </c>
      <c r="O154" s="27" t="s">
        <v>453</v>
      </c>
      <c r="P154" s="27" t="s">
        <v>154</v>
      </c>
      <c r="Q154" s="27" t="s">
        <v>154</v>
      </c>
      <c r="R154" s="27" t="s">
        <v>71</v>
      </c>
      <c r="S154" s="27" t="s">
        <v>520</v>
      </c>
      <c r="T154" s="28" t="n">
        <f aca="false">Assumptions!$C$15</f>
        <v>0.25</v>
      </c>
      <c r="U154" s="21" t="n">
        <f aca="false">J154*(1-T154)</f>
        <v>371250</v>
      </c>
      <c r="V154" s="29" t="n">
        <f aca="false">IF((1-T154)&gt;0.75,Assumptions!$C$11,IF((1-T154)&gt;0.7,Assumptions!$C$12,Assumptions!$C$13))</f>
        <v>0.0725</v>
      </c>
      <c r="W154" s="21" t="n">
        <f aca="false">PMT(V154/12,Assumptions!$C$14,-U154)+J154*INDEX(Assumptions!$C$28:$C$34,MATCH(C154,Assumptions!$B$28:$B$34,0))/12+(INDEX(Assumptions!$D$28:$D$34,MATCH(C154,Assumptions!$B$28:$B$34,0))+INDEX(Assumptions!$C$22:$C$25,MATCH(R154,Assumptions!$B$22:$B$25,0)))/12</f>
        <v>4150.91277304195</v>
      </c>
      <c r="X154" s="21" t="n">
        <f aca="false">W154*12*$B$18/Assumptions!$C$18</f>
        <v>62263.6915956292</v>
      </c>
      <c r="Y154" s="21" t="n">
        <f aca="false">W154*12*$B$19/Assumptions!$C$18</f>
        <v>77829.6144945365</v>
      </c>
      <c r="Z154" s="21" t="n">
        <f aca="false">J154*(T154+Assumptions!$C$16)</f>
        <v>143550</v>
      </c>
      <c r="AA154" s="53" t="n">
        <f aca="false">IF(ISNUMBER(F154),F154,IF(H154&gt;=2000,4,3))</f>
        <v>3</v>
      </c>
      <c r="AB154" s="21" t="n">
        <f aca="false">IFERROR(INDEX($E$18:$H$25,MATCH(D154,$D$18:$D$25,0),1+IF(AA154&gt;=4,2,0)+IF(Q154="Y",1,0)),0)</f>
        <v>45000</v>
      </c>
      <c r="AC154" s="30" t="n">
        <f aca="false">IFERROR(AB154/X154,0)</f>
        <v>0.722732604617342</v>
      </c>
      <c r="AD154" s="4" t="str">
        <f aca="false">IF(ISNUMBER(SEARCH("Mobile",E154)),"EXCLUDED",IF(AB154&gt;=Y154,"PASS",IF(AB154&gt;=X154,"MARGINAL","FAIL")))</f>
        <v>FAIL</v>
      </c>
      <c r="AE154" s="26" t="s">
        <v>546</v>
      </c>
    </row>
    <row r="155" customFormat="false" ht="23.85" hidden="false" customHeight="false" outlineLevel="0" collapsed="false">
      <c r="A155" s="36" t="s">
        <v>795</v>
      </c>
      <c r="B155" s="36" t="s">
        <v>310</v>
      </c>
      <c r="C155" s="36" t="s">
        <v>18</v>
      </c>
      <c r="D155" s="36" t="s">
        <v>484</v>
      </c>
      <c r="E155" s="36" t="s">
        <v>506</v>
      </c>
      <c r="F155" s="36"/>
      <c r="G155" s="36" t="n">
        <v>3</v>
      </c>
      <c r="H155" s="55" t="n">
        <v>1762</v>
      </c>
      <c r="I155" s="34" t="n">
        <v>1984</v>
      </c>
      <c r="J155" s="37" t="n">
        <v>542000</v>
      </c>
      <c r="K155" s="34" t="n">
        <v>19</v>
      </c>
      <c r="L155" s="36" t="s">
        <v>796</v>
      </c>
      <c r="M155" s="37" t="n">
        <v>172000</v>
      </c>
      <c r="N155" s="37" t="n">
        <v>418317</v>
      </c>
      <c r="O155" s="36" t="s">
        <v>458</v>
      </c>
      <c r="P155" s="36" t="s">
        <v>154</v>
      </c>
      <c r="Q155" s="36" t="s">
        <v>154</v>
      </c>
      <c r="R155" s="36" t="s">
        <v>69</v>
      </c>
      <c r="S155" s="36" t="s">
        <v>520</v>
      </c>
      <c r="T155" s="39" t="n">
        <f aca="false">Assumptions!$C$15</f>
        <v>0.25</v>
      </c>
      <c r="U155" s="40" t="n">
        <f aca="false">J155*(1-T155)</f>
        <v>406500</v>
      </c>
      <c r="V155" s="41" t="n">
        <f aca="false">IF((1-T155)&gt;0.75,Assumptions!$C$11,IF((1-T155)&gt;0.7,Assumptions!$C$12,Assumptions!$C$13))</f>
        <v>0.0725</v>
      </c>
      <c r="W155" s="40" t="n">
        <f aca="false">PMT(V155/12,Assumptions!$C$14,-U155)+J155*INDEX(Assumptions!$C$28:$C$34,MATCH(C155,Assumptions!$B$28:$B$34,0))/12+(INDEX(Assumptions!$D$28:$D$34,MATCH(C155,Assumptions!$B$28:$B$34,0))+INDEX(Assumptions!$C$22:$C$25,MATCH(R155,Assumptions!$B$22:$B$25,0)))/12</f>
        <v>4162.37991176175</v>
      </c>
      <c r="X155" s="40" t="n">
        <f aca="false">W155*12*$B$18/Assumptions!$C$18</f>
        <v>62435.6986764263</v>
      </c>
      <c r="Y155" s="40" t="n">
        <f aca="false">W155*12*$B$19/Assumptions!$C$18</f>
        <v>78044.6233455329</v>
      </c>
      <c r="Z155" s="40" t="n">
        <f aca="false">J155*(T155+Assumptions!$C$16)</f>
        <v>157180</v>
      </c>
      <c r="AA155" s="56" t="n">
        <f aca="false">IF(ISNUMBER(F155),F155,IF(H155&gt;=2000,4,3))</f>
        <v>3</v>
      </c>
      <c r="AB155" s="40" t="n">
        <f aca="false">IFERROR(INDEX($E$18:$H$25,MATCH(D155,$D$18:$D$25,0),1+IF(AA155&gt;=4,2,0)+IF(Q155="Y",1,0)),0)</f>
        <v>45000</v>
      </c>
      <c r="AC155" s="42" t="n">
        <f aca="false">IFERROR(AB155/X155,0)</f>
        <v>0.720741514133012</v>
      </c>
      <c r="AD155" s="57" t="str">
        <f aca="false">IF(ISNUMBER(SEARCH("Mobile",E155)),"EXCLUDED",IF(AB155&gt;=Y155,"PASS",IF(AB155&gt;=X155,"MARGINAL","FAIL")))</f>
        <v>FAIL</v>
      </c>
      <c r="AE155" s="35" t="s">
        <v>546</v>
      </c>
    </row>
    <row r="156" customFormat="false" ht="15" hidden="false" customHeight="false" outlineLevel="0" collapsed="false">
      <c r="A156" s="27" t="s">
        <v>797</v>
      </c>
      <c r="B156" s="27" t="s">
        <v>607</v>
      </c>
      <c r="C156" s="27" t="s">
        <v>80</v>
      </c>
      <c r="D156" s="27" t="s">
        <v>480</v>
      </c>
      <c r="E156" s="27" t="s">
        <v>506</v>
      </c>
      <c r="F156" s="27" t="n">
        <v>3</v>
      </c>
      <c r="G156" s="27" t="n">
        <v>2</v>
      </c>
      <c r="H156" s="52" t="n">
        <v>1814</v>
      </c>
      <c r="I156" s="13" t="n">
        <v>2018</v>
      </c>
      <c r="J156" s="19" t="n">
        <v>419000</v>
      </c>
      <c r="K156" s="13" t="n">
        <v>178</v>
      </c>
      <c r="L156" s="27" t="s">
        <v>798</v>
      </c>
      <c r="M156" s="19" t="n">
        <v>329000</v>
      </c>
      <c r="N156" s="19" t="n">
        <v>449859</v>
      </c>
      <c r="O156" s="27" t="s">
        <v>458</v>
      </c>
      <c r="P156" s="27" t="s">
        <v>154</v>
      </c>
      <c r="Q156" s="27" t="s">
        <v>154</v>
      </c>
      <c r="R156" s="27" t="s">
        <v>69</v>
      </c>
      <c r="S156" s="27" t="s">
        <v>597</v>
      </c>
      <c r="T156" s="28" t="n">
        <f aca="false">Assumptions!$C$15</f>
        <v>0.25</v>
      </c>
      <c r="U156" s="21" t="n">
        <f aca="false">J156*(1-T156)</f>
        <v>314250</v>
      </c>
      <c r="V156" s="29" t="n">
        <f aca="false">IF((1-T156)&gt;0.75,Assumptions!$C$11,IF((1-T156)&gt;0.7,Assumptions!$C$12,Assumptions!$C$13))</f>
        <v>0.0725</v>
      </c>
      <c r="W156" s="21" t="n">
        <f aca="false">PMT(V156/12,Assumptions!$C$14,-U156)+J156*INDEX(Assumptions!$C$28:$C$34,MATCH(C156,Assumptions!$B$28:$B$34,0))/12+(INDEX(Assumptions!$D$28:$D$34,MATCH(C156,Assumptions!$B$28:$B$34,0))+INDEX(Assumptions!$C$22:$C$25,MATCH(R156,Assumptions!$B$22:$B$25,0)))/12</f>
        <v>3334.15562674325</v>
      </c>
      <c r="X156" s="21" t="n">
        <f aca="false">W156*12*$B$18/Assumptions!$C$18</f>
        <v>50012.3344011487</v>
      </c>
      <c r="Y156" s="21" t="n">
        <f aca="false">W156*12*$B$19/Assumptions!$C$18</f>
        <v>62515.4180014359</v>
      </c>
      <c r="Z156" s="21" t="n">
        <f aca="false">J156*(T156+Assumptions!$C$16)</f>
        <v>121510</v>
      </c>
      <c r="AA156" s="53" t="n">
        <f aca="false">IF(ISNUMBER(F156),F156,IF(H156&gt;=2000,4,3))</f>
        <v>3</v>
      </c>
      <c r="AB156" s="21" t="n">
        <f aca="false">IFERROR(INDEX($E$18:$H$25,MATCH(D156,$D$18:$D$25,0),1+IF(AA156&gt;=4,2,0)+IF(Q156="Y",1,0)),0)</f>
        <v>36000</v>
      </c>
      <c r="AC156" s="30" t="n">
        <f aca="false">IFERROR(AB156/X156,0)</f>
        <v>0.719822428428238</v>
      </c>
      <c r="AD156" s="4" t="str">
        <f aca="false">IF(ISNUMBER(SEARCH("Mobile",E156)),"EXCLUDED",IF(AB156&gt;=Y156,"PASS",IF(AB156&gt;=X156,"MARGINAL","FAIL")))</f>
        <v>FAIL</v>
      </c>
      <c r="AE156" s="26"/>
    </row>
    <row r="157" customFormat="false" ht="23.85" hidden="false" customHeight="false" outlineLevel="0" collapsed="false">
      <c r="A157" s="36" t="s">
        <v>799</v>
      </c>
      <c r="B157" s="36" t="s">
        <v>310</v>
      </c>
      <c r="C157" s="36" t="s">
        <v>18</v>
      </c>
      <c r="D157" s="36" t="s">
        <v>484</v>
      </c>
      <c r="E157" s="36" t="s">
        <v>506</v>
      </c>
      <c r="F157" s="36"/>
      <c r="G157" s="36" t="n">
        <v>2.5</v>
      </c>
      <c r="H157" s="55" t="n">
        <v>1564</v>
      </c>
      <c r="I157" s="34" t="n">
        <v>1959</v>
      </c>
      <c r="J157" s="37" t="n">
        <v>499900</v>
      </c>
      <c r="K157" s="34" t="n">
        <v>115</v>
      </c>
      <c r="L157" s="36" t="s">
        <v>800</v>
      </c>
      <c r="M157" s="37" t="n">
        <v>292000</v>
      </c>
      <c r="N157" s="37" t="n">
        <v>498796</v>
      </c>
      <c r="O157" s="36" t="s">
        <v>453</v>
      </c>
      <c r="P157" s="36" t="s">
        <v>154</v>
      </c>
      <c r="Q157" s="36" t="s">
        <v>154</v>
      </c>
      <c r="R157" s="36" t="s">
        <v>71</v>
      </c>
      <c r="S157" s="36" t="s">
        <v>520</v>
      </c>
      <c r="T157" s="39" t="n">
        <f aca="false">Assumptions!$C$15</f>
        <v>0.25</v>
      </c>
      <c r="U157" s="40" t="n">
        <f aca="false">J157*(1-T157)</f>
        <v>374925</v>
      </c>
      <c r="V157" s="41" t="n">
        <f aca="false">IF((1-T157)&gt;0.75,Assumptions!$C$11,IF((1-T157)&gt;0.7,Assumptions!$C$12,Assumptions!$C$13))</f>
        <v>0.0725</v>
      </c>
      <c r="W157" s="40" t="n">
        <f aca="false">PMT(V157/12,Assumptions!$C$14,-U157)+J157*INDEX(Assumptions!$C$28:$C$34,MATCH(C157,Assumptions!$B$28:$B$34,0))/12+(INDEX(Assumptions!$D$28:$D$34,MATCH(C157,Assumptions!$B$28:$B$34,0))+INDEX(Assumptions!$C$22:$C$25,MATCH(R157,Assumptions!$B$22:$B$25,0)))/12</f>
        <v>4182.51608466734</v>
      </c>
      <c r="X157" s="40" t="n">
        <f aca="false">W157*12*$B$18/Assumptions!$C$18</f>
        <v>62737.7412700102</v>
      </c>
      <c r="Y157" s="40" t="n">
        <f aca="false">W157*12*$B$19/Assumptions!$C$18</f>
        <v>78422.1765875127</v>
      </c>
      <c r="Z157" s="40" t="n">
        <f aca="false">J157*(T157+Assumptions!$C$16)</f>
        <v>144971</v>
      </c>
      <c r="AA157" s="56" t="n">
        <f aca="false">IF(ISNUMBER(F157),F157,IF(H157&gt;=2000,4,3))</f>
        <v>3</v>
      </c>
      <c r="AB157" s="40" t="n">
        <f aca="false">IFERROR(INDEX($E$18:$H$25,MATCH(D157,$D$18:$D$25,0),1+IF(AA157&gt;=4,2,0)+IF(Q157="Y",1,0)),0)</f>
        <v>45000</v>
      </c>
      <c r="AC157" s="42" t="n">
        <f aca="false">IFERROR(AB157/X157,0)</f>
        <v>0.717271599025687</v>
      </c>
      <c r="AD157" s="57" t="str">
        <f aca="false">IF(ISNUMBER(SEARCH("Mobile",E157)),"EXCLUDED",IF(AB157&gt;=Y157,"PASS",IF(AB157&gt;=X157,"MARGINAL","FAIL")))</f>
        <v>FAIL</v>
      </c>
      <c r="AE157" s="35" t="s">
        <v>546</v>
      </c>
    </row>
    <row r="158" customFormat="false" ht="15" hidden="false" customHeight="false" outlineLevel="0" collapsed="false">
      <c r="A158" s="27" t="s">
        <v>801</v>
      </c>
      <c r="B158" s="27" t="s">
        <v>661</v>
      </c>
      <c r="C158" s="27" t="s">
        <v>82</v>
      </c>
      <c r="D158" s="27" t="s">
        <v>482</v>
      </c>
      <c r="E158" s="27" t="s">
        <v>506</v>
      </c>
      <c r="F158" s="27" t="n">
        <v>3</v>
      </c>
      <c r="G158" s="27" t="n">
        <v>2</v>
      </c>
      <c r="H158" s="52" t="n">
        <v>1533</v>
      </c>
      <c r="I158" s="13" t="n">
        <v>1986</v>
      </c>
      <c r="J158" s="19" t="n">
        <v>399900</v>
      </c>
      <c r="K158" s="13" t="n">
        <v>37</v>
      </c>
      <c r="L158" s="27" t="s">
        <v>802</v>
      </c>
      <c r="M158" s="19" t="n">
        <v>277955</v>
      </c>
      <c r="N158" s="19" t="n">
        <v>217698</v>
      </c>
      <c r="O158" s="27" t="s">
        <v>458</v>
      </c>
      <c r="P158" s="27" t="s">
        <v>154</v>
      </c>
      <c r="Q158" s="27" t="s">
        <v>154</v>
      </c>
      <c r="R158" s="27" t="s">
        <v>69</v>
      </c>
      <c r="S158" s="27" t="s">
        <v>516</v>
      </c>
      <c r="T158" s="28" t="n">
        <f aca="false">Assumptions!$C$15</f>
        <v>0.25</v>
      </c>
      <c r="U158" s="21" t="n">
        <f aca="false">J158*(1-T158)</f>
        <v>299925</v>
      </c>
      <c r="V158" s="29" t="n">
        <f aca="false">IF((1-T158)&gt;0.75,Assumptions!$C$11,IF((1-T158)&gt;0.7,Assumptions!$C$12,Assumptions!$C$13))</f>
        <v>0.0725</v>
      </c>
      <c r="W158" s="21" t="n">
        <f aca="false">PMT(V158/12,Assumptions!$C$14,-U158)+J158*INDEX(Assumptions!$C$28:$C$34,MATCH(C158,Assumptions!$B$28:$B$34,0))/12+(INDEX(Assumptions!$D$28:$D$34,MATCH(C158,Assumptions!$B$28:$B$34,0))+INDEX(Assumptions!$C$22:$C$25,MATCH(R158,Assumptions!$B$22:$B$25,0)))/12</f>
        <v>3162.5713746252</v>
      </c>
      <c r="X158" s="21" t="n">
        <f aca="false">W158*12*$B$18/Assumptions!$C$18</f>
        <v>47438.570619378</v>
      </c>
      <c r="Y158" s="21" t="n">
        <f aca="false">W158*12*$B$19/Assumptions!$C$18</f>
        <v>59298.2132742225</v>
      </c>
      <c r="Z158" s="21" t="n">
        <f aca="false">J158*(T158+Assumptions!$C$16)</f>
        <v>115971</v>
      </c>
      <c r="AA158" s="53" t="n">
        <f aca="false">IF(ISNUMBER(F158),F158,IF(H158&gt;=2000,4,3))</f>
        <v>3</v>
      </c>
      <c r="AB158" s="21" t="n">
        <f aca="false">IFERROR(INDEX($E$18:$H$25,MATCH(D158,$D$18:$D$25,0),1+IF(AA158&gt;=4,2,0)+IF(Q158="Y",1,0)),0)</f>
        <v>34000</v>
      </c>
      <c r="AC158" s="30" t="n">
        <f aca="false">IFERROR(AB158/X158,0)</f>
        <v>0.716716367210935</v>
      </c>
      <c r="AD158" s="4" t="str">
        <f aca="false">IF(ISNUMBER(SEARCH("Mobile",E158)),"EXCLUDED",IF(AB158&gt;=Y158,"PASS",IF(AB158&gt;=X158,"MARGINAL","FAIL")))</f>
        <v>FAIL</v>
      </c>
      <c r="AE158" s="26"/>
    </row>
    <row r="159" customFormat="false" ht="15" hidden="false" customHeight="false" outlineLevel="0" collapsed="false">
      <c r="A159" s="36" t="s">
        <v>803</v>
      </c>
      <c r="B159" s="36" t="s">
        <v>158</v>
      </c>
      <c r="C159" s="36" t="s">
        <v>80</v>
      </c>
      <c r="D159" s="36" t="s">
        <v>477</v>
      </c>
      <c r="E159" s="36" t="s">
        <v>506</v>
      </c>
      <c r="F159" s="36" t="n">
        <v>3</v>
      </c>
      <c r="G159" s="36" t="n">
        <v>1</v>
      </c>
      <c r="H159" s="55" t="n">
        <v>1468</v>
      </c>
      <c r="I159" s="34" t="n">
        <v>1925</v>
      </c>
      <c r="J159" s="37" t="n">
        <v>559900</v>
      </c>
      <c r="K159" s="34" t="n">
        <v>13</v>
      </c>
      <c r="L159" s="36" t="s">
        <v>659</v>
      </c>
      <c r="M159" s="37" t="n">
        <v>435000</v>
      </c>
      <c r="N159" s="37" t="n">
        <v>75185</v>
      </c>
      <c r="O159" s="36" t="s">
        <v>458</v>
      </c>
      <c r="P159" s="36" t="s">
        <v>154</v>
      </c>
      <c r="Q159" s="36" t="s">
        <v>154</v>
      </c>
      <c r="R159" s="36" t="s">
        <v>69</v>
      </c>
      <c r="S159" s="36" t="s">
        <v>527</v>
      </c>
      <c r="T159" s="39" t="n">
        <f aca="false">Assumptions!$C$15</f>
        <v>0.25</v>
      </c>
      <c r="U159" s="40" t="n">
        <f aca="false">J159*(1-T159)</f>
        <v>419925</v>
      </c>
      <c r="V159" s="41" t="n">
        <f aca="false">IF((1-T159)&gt;0.75,Assumptions!$C$11,IF((1-T159)&gt;0.7,Assumptions!$C$12,Assumptions!$C$13))</f>
        <v>0.0725</v>
      </c>
      <c r="W159" s="40" t="n">
        <f aca="false">PMT(V159/12,Assumptions!$C$14,-U159)+J159*INDEX(Assumptions!$C$28:$C$34,MATCH(C159,Assumptions!$B$28:$B$34,0))/12+(INDEX(Assumptions!$D$28:$D$34,MATCH(C159,Assumptions!$B$28:$B$34,0))+INDEX(Assumptions!$C$22:$C$25,MATCH(R159,Assumptions!$B$22:$B$25,0)))/12</f>
        <v>4231.17041069263</v>
      </c>
      <c r="X159" s="40" t="n">
        <f aca="false">W159*12*$B$18/Assumptions!$C$18</f>
        <v>63467.5561603895</v>
      </c>
      <c r="Y159" s="40" t="n">
        <f aca="false">W159*12*$B$19/Assumptions!$C$18</f>
        <v>79334.4452004868</v>
      </c>
      <c r="Z159" s="40" t="n">
        <f aca="false">J159*(T159+Assumptions!$C$16)</f>
        <v>162371</v>
      </c>
      <c r="AA159" s="56" t="n">
        <f aca="false">IF(ISNUMBER(F159),F159,IF(H159&gt;=2000,4,3))</f>
        <v>3</v>
      </c>
      <c r="AB159" s="40" t="n">
        <f aca="false">IFERROR(INDEX($E$18:$H$25,MATCH(D159,$D$18:$D$25,0),1+IF(AA159&gt;=4,2,0)+IF(Q159="Y",1,0)),0)</f>
        <v>45000</v>
      </c>
      <c r="AC159" s="42" t="n">
        <f aca="false">IFERROR(AB159/X159,0)</f>
        <v>0.70902367638483</v>
      </c>
      <c r="AD159" s="57" t="str">
        <f aca="false">IF(ISNUMBER(SEARCH("Mobile",E159)),"EXCLUDED",IF(AB159&gt;=Y159,"PASS",IF(AB159&gt;=X159,"MARGINAL","FAIL")))</f>
        <v>FAIL</v>
      </c>
      <c r="AE159" s="35"/>
    </row>
    <row r="160" customFormat="false" ht="15" hidden="false" customHeight="false" outlineLevel="0" collapsed="false">
      <c r="A160" s="27" t="s">
        <v>804</v>
      </c>
      <c r="B160" s="27" t="s">
        <v>644</v>
      </c>
      <c r="C160" s="27" t="s">
        <v>80</v>
      </c>
      <c r="D160" s="27" t="s">
        <v>480</v>
      </c>
      <c r="E160" s="27" t="s">
        <v>506</v>
      </c>
      <c r="F160" s="27" t="n">
        <v>3</v>
      </c>
      <c r="G160" s="27" t="n">
        <v>2</v>
      </c>
      <c r="H160" s="52" t="n">
        <v>2064</v>
      </c>
      <c r="I160" s="13" t="n">
        <v>2014</v>
      </c>
      <c r="J160" s="19" t="n">
        <v>429900</v>
      </c>
      <c r="K160" s="13" t="n">
        <v>629</v>
      </c>
      <c r="L160" s="27" t="s">
        <v>805</v>
      </c>
      <c r="M160" s="19" t="n">
        <v>211798</v>
      </c>
      <c r="N160" s="19" t="n">
        <v>435124</v>
      </c>
      <c r="O160" s="27" t="s">
        <v>463</v>
      </c>
      <c r="P160" s="27" t="s">
        <v>154</v>
      </c>
      <c r="Q160" s="27" t="s">
        <v>154</v>
      </c>
      <c r="R160" s="27" t="s">
        <v>69</v>
      </c>
      <c r="S160" s="27" t="s">
        <v>597</v>
      </c>
      <c r="T160" s="28" t="n">
        <f aca="false">Assumptions!$C$15</f>
        <v>0.25</v>
      </c>
      <c r="U160" s="21" t="n">
        <f aca="false">J160*(1-T160)</f>
        <v>322425</v>
      </c>
      <c r="V160" s="29" t="n">
        <f aca="false">IF((1-T160)&gt;0.75,Assumptions!$C$11,IF((1-T160)&gt;0.7,Assumptions!$C$12,Assumptions!$C$13))</f>
        <v>0.0725</v>
      </c>
      <c r="W160" s="21" t="n">
        <f aca="false">PMT(V160/12,Assumptions!$C$14,-U160)+J160*INDEX(Assumptions!$C$28:$C$34,MATCH(C160,Assumptions!$B$28:$B$34,0))/12+(INDEX(Assumptions!$D$28:$D$34,MATCH(C160,Assumptions!$B$28:$B$34,0))+INDEX(Assumptions!$C$22:$C$25,MATCH(R160,Assumptions!$B$22:$B$25,0)))/12</f>
        <v>3403.54853763784</v>
      </c>
      <c r="X160" s="21" t="n">
        <f aca="false">W160*12*$B$18/Assumptions!$C$18</f>
        <v>51053.2280645676</v>
      </c>
      <c r="Y160" s="21" t="n">
        <f aca="false">W160*12*$B$19/Assumptions!$C$18</f>
        <v>63816.5350807096</v>
      </c>
      <c r="Z160" s="21" t="n">
        <f aca="false">J160*(T160+Assumptions!$C$16)</f>
        <v>124671</v>
      </c>
      <c r="AA160" s="53" t="n">
        <f aca="false">IF(ISNUMBER(F160),F160,IF(H160&gt;=2000,4,3))</f>
        <v>3</v>
      </c>
      <c r="AB160" s="21" t="n">
        <f aca="false">IFERROR(INDEX($E$18:$H$25,MATCH(D160,$D$18:$D$25,0),1+IF(AA160&gt;=4,2,0)+IF(Q160="Y",1,0)),0)</f>
        <v>36000</v>
      </c>
      <c r="AC160" s="30" t="n">
        <f aca="false">IFERROR(AB160/X160,0)</f>
        <v>0.705146400428791</v>
      </c>
      <c r="AD160" s="4" t="str">
        <f aca="false">IF(ISNUMBER(SEARCH("Mobile",E160)),"EXCLUDED",IF(AB160&gt;=Y160,"PASS",IF(AB160&gt;=X160,"MARGINAL","FAIL")))</f>
        <v>FAIL</v>
      </c>
      <c r="AE160" s="26"/>
    </row>
    <row r="161" customFormat="false" ht="15" hidden="false" customHeight="false" outlineLevel="0" collapsed="false">
      <c r="A161" s="36" t="s">
        <v>806</v>
      </c>
      <c r="B161" s="36" t="s">
        <v>607</v>
      </c>
      <c r="C161" s="36" t="s">
        <v>80</v>
      </c>
      <c r="D161" s="36" t="s">
        <v>480</v>
      </c>
      <c r="E161" s="36" t="s">
        <v>506</v>
      </c>
      <c r="F161" s="36" t="n">
        <v>3</v>
      </c>
      <c r="G161" s="36" t="n">
        <v>2</v>
      </c>
      <c r="H161" s="55" t="n">
        <v>2052</v>
      </c>
      <c r="I161" s="34" t="n">
        <v>2008</v>
      </c>
      <c r="J161" s="37" t="n">
        <v>434899</v>
      </c>
      <c r="K161" s="34" t="n">
        <v>47</v>
      </c>
      <c r="L161" s="36" t="s">
        <v>807</v>
      </c>
      <c r="M161" s="37" t="n">
        <v>240000</v>
      </c>
      <c r="N161" s="37" t="n">
        <v>436098</v>
      </c>
      <c r="O161" s="36" t="s">
        <v>453</v>
      </c>
      <c r="P161" s="36" t="s">
        <v>154</v>
      </c>
      <c r="Q161" s="36" t="s">
        <v>154</v>
      </c>
      <c r="R161" s="36" t="s">
        <v>69</v>
      </c>
      <c r="S161" s="36" t="s">
        <v>597</v>
      </c>
      <c r="T161" s="39" t="n">
        <f aca="false">Assumptions!$C$15</f>
        <v>0.25</v>
      </c>
      <c r="U161" s="40" t="n">
        <f aca="false">J161*(1-T161)</f>
        <v>326174.25</v>
      </c>
      <c r="V161" s="41" t="n">
        <f aca="false">IF((1-T161)&gt;0.75,Assumptions!$C$11,IF((1-T161)&gt;0.7,Assumptions!$C$12,Assumptions!$C$13))</f>
        <v>0.0725</v>
      </c>
      <c r="W161" s="40" t="n">
        <f aca="false">PMT(V161/12,Assumptions!$C$14,-U161)+J161*INDEX(Assumptions!$C$28:$C$34,MATCH(C161,Assumptions!$B$28:$B$34,0))/12+(INDEX(Assumptions!$D$28:$D$34,MATCH(C161,Assumptions!$B$28:$B$34,0))+INDEX(Assumptions!$C$22:$C$25,MATCH(R161,Assumptions!$B$22:$B$25,0)))/12</f>
        <v>3435.37378181785</v>
      </c>
      <c r="X161" s="40" t="n">
        <f aca="false">W161*12*$B$18/Assumptions!$C$18</f>
        <v>51530.6067272678</v>
      </c>
      <c r="Y161" s="40" t="n">
        <f aca="false">W161*12*$B$19/Assumptions!$C$18</f>
        <v>64413.2584090847</v>
      </c>
      <c r="Z161" s="40" t="n">
        <f aca="false">J161*(T161+Assumptions!$C$16)</f>
        <v>126120.71</v>
      </c>
      <c r="AA161" s="56" t="n">
        <f aca="false">IF(ISNUMBER(F161),F161,IF(H161&gt;=2000,4,3))</f>
        <v>3</v>
      </c>
      <c r="AB161" s="40" t="n">
        <f aca="false">IFERROR(INDEX($E$18:$H$25,MATCH(D161,$D$18:$D$25,0),1+IF(AA161&gt;=4,2,0)+IF(Q161="Y",1,0)),0)</f>
        <v>36000</v>
      </c>
      <c r="AC161" s="42" t="n">
        <f aca="false">IFERROR(AB161/X161,0)</f>
        <v>0.698613936190089</v>
      </c>
      <c r="AD161" s="57" t="str">
        <f aca="false">IF(ISNUMBER(SEARCH("Mobile",E161)),"EXCLUDED",IF(AB161&gt;=Y161,"PASS",IF(AB161&gt;=X161,"MARGINAL","FAIL")))</f>
        <v>FAIL</v>
      </c>
      <c r="AE161" s="35"/>
    </row>
    <row r="162" customFormat="false" ht="23.85" hidden="false" customHeight="false" outlineLevel="0" collapsed="false">
      <c r="A162" s="27" t="s">
        <v>808</v>
      </c>
      <c r="B162" s="27" t="s">
        <v>244</v>
      </c>
      <c r="C162" s="27" t="s">
        <v>18</v>
      </c>
      <c r="D162" s="27" t="s">
        <v>484</v>
      </c>
      <c r="E162" s="27" t="s">
        <v>506</v>
      </c>
      <c r="F162" s="27"/>
      <c r="G162" s="27" t="n">
        <v>2</v>
      </c>
      <c r="H162" s="52" t="n">
        <v>1550</v>
      </c>
      <c r="I162" s="13" t="n">
        <v>2024</v>
      </c>
      <c r="J162" s="19" t="n">
        <v>549900</v>
      </c>
      <c r="K162" s="13" t="n">
        <v>33</v>
      </c>
      <c r="L162" s="27" t="s">
        <v>809</v>
      </c>
      <c r="M162" s="19" t="n">
        <v>345000</v>
      </c>
      <c r="N162" s="19" t="n">
        <v>-189446</v>
      </c>
      <c r="O162" s="27" t="s">
        <v>453</v>
      </c>
      <c r="P162" s="27" t="s">
        <v>154</v>
      </c>
      <c r="Q162" s="27" t="s">
        <v>154</v>
      </c>
      <c r="R162" s="27" t="s">
        <v>75</v>
      </c>
      <c r="S162" s="27" t="s">
        <v>520</v>
      </c>
      <c r="T162" s="28" t="n">
        <f aca="false">Assumptions!$C$15</f>
        <v>0.25</v>
      </c>
      <c r="U162" s="21" t="n">
        <f aca="false">J162*(1-T162)</f>
        <v>412425</v>
      </c>
      <c r="V162" s="29" t="n">
        <f aca="false">IF((1-T162)&gt;0.75,Assumptions!$C$11,IF((1-T162)&gt;0.7,Assumptions!$C$12,Assumptions!$C$13))</f>
        <v>0.0725</v>
      </c>
      <c r="W162" s="21" t="n">
        <f aca="false">PMT(V162/12,Assumptions!$C$14,-U162)+J162*INDEX(Assumptions!$C$28:$C$34,MATCH(C162,Assumptions!$B$28:$B$34,0))/12+(INDEX(Assumptions!$D$28:$D$34,MATCH(C162,Assumptions!$B$28:$B$34,0))+INDEX(Assumptions!$C$22:$C$25,MATCH(R162,Assumptions!$B$22:$B$25,0)))/12</f>
        <v>4296.66552302175</v>
      </c>
      <c r="X162" s="21" t="n">
        <f aca="false">W162*12*$B$18/Assumptions!$C$18</f>
        <v>64449.9828453262</v>
      </c>
      <c r="Y162" s="21" t="n">
        <f aca="false">W162*12*$B$19/Assumptions!$C$18</f>
        <v>80562.4785566578</v>
      </c>
      <c r="Z162" s="21" t="n">
        <f aca="false">J162*(T162+Assumptions!$C$16)</f>
        <v>159471</v>
      </c>
      <c r="AA162" s="53" t="n">
        <f aca="false">IF(ISNUMBER(F162),F162,IF(H162&gt;=2000,4,3))</f>
        <v>3</v>
      </c>
      <c r="AB162" s="21" t="n">
        <f aca="false">IFERROR(INDEX($E$18:$H$25,MATCH(D162,$D$18:$D$25,0),1+IF(AA162&gt;=4,2,0)+IF(Q162="Y",1,0)),0)</f>
        <v>45000</v>
      </c>
      <c r="AC162" s="30" t="n">
        <f aca="false">IFERROR(AB162/X162,0)</f>
        <v>0.698215856907141</v>
      </c>
      <c r="AD162" s="4" t="str">
        <f aca="false">IF(ISNUMBER(SEARCH("Mobile",E162)),"EXCLUDED",IF(AB162&gt;=Y162,"PASS",IF(AB162&gt;=X162,"MARGINAL","FAIL")))</f>
        <v>FAIL</v>
      </c>
      <c r="AE162" s="26" t="s">
        <v>546</v>
      </c>
    </row>
    <row r="163" customFormat="false" ht="15" hidden="false" customHeight="false" outlineLevel="0" collapsed="false">
      <c r="A163" s="36" t="s">
        <v>810</v>
      </c>
      <c r="B163" s="36" t="s">
        <v>231</v>
      </c>
      <c r="C163" s="36" t="s">
        <v>82</v>
      </c>
      <c r="D163" s="36" t="s">
        <v>482</v>
      </c>
      <c r="E163" s="36" t="s">
        <v>506</v>
      </c>
      <c r="F163" s="36" t="n">
        <v>3</v>
      </c>
      <c r="G163" s="36" t="n">
        <v>2</v>
      </c>
      <c r="H163" s="55" t="n">
        <v>1352</v>
      </c>
      <c r="I163" s="34" t="n">
        <v>1984</v>
      </c>
      <c r="J163" s="37" t="n">
        <v>414500</v>
      </c>
      <c r="K163" s="34" t="n">
        <v>216</v>
      </c>
      <c r="L163" s="36" t="s">
        <v>811</v>
      </c>
      <c r="M163" s="37" t="n">
        <v>392500</v>
      </c>
      <c r="N163" s="37" t="n">
        <v>127923</v>
      </c>
      <c r="O163" s="36" t="s">
        <v>458</v>
      </c>
      <c r="P163" s="36" t="s">
        <v>154</v>
      </c>
      <c r="Q163" s="36" t="s">
        <v>154</v>
      </c>
      <c r="R163" s="36" t="s">
        <v>69</v>
      </c>
      <c r="S163" s="36" t="s">
        <v>633</v>
      </c>
      <c r="T163" s="39" t="n">
        <f aca="false">Assumptions!$C$15</f>
        <v>0.25</v>
      </c>
      <c r="U163" s="40" t="n">
        <f aca="false">J163*(1-T163)</f>
        <v>310875</v>
      </c>
      <c r="V163" s="41" t="n">
        <f aca="false">IF((1-T163)&gt;0.75,Assumptions!$C$11,IF((1-T163)&gt;0.7,Assumptions!$C$12,Assumptions!$C$13))</f>
        <v>0.0725</v>
      </c>
      <c r="W163" s="40" t="n">
        <f aca="false">PMT(V163/12,Assumptions!$C$14,-U163)+J163*INDEX(Assumptions!$C$28:$C$34,MATCH(C163,Assumptions!$B$28:$B$34,0))/12+(INDEX(Assumptions!$D$28:$D$34,MATCH(C163,Assumptions!$B$28:$B$34,0))+INDEX(Assumptions!$C$22:$C$25,MATCH(R163,Assumptions!$B$22:$B$25,0)))/12</f>
        <v>3253.69467729135</v>
      </c>
      <c r="X163" s="40" t="n">
        <f aca="false">W163*12*$B$18/Assumptions!$C$18</f>
        <v>48805.4201593703</v>
      </c>
      <c r="Y163" s="40" t="n">
        <f aca="false">W163*12*$B$19/Assumptions!$C$18</f>
        <v>61006.7751992129</v>
      </c>
      <c r="Z163" s="40" t="n">
        <f aca="false">J163*(T163+Assumptions!$C$16)</f>
        <v>120205</v>
      </c>
      <c r="AA163" s="56" t="n">
        <f aca="false">IF(ISNUMBER(F163),F163,IF(H163&gt;=2000,4,3))</f>
        <v>3</v>
      </c>
      <c r="AB163" s="40" t="n">
        <f aca="false">IFERROR(INDEX($E$18:$H$25,MATCH(D163,$D$18:$D$25,0),1+IF(AA163&gt;=4,2,0)+IF(Q163="Y",1,0)),0)</f>
        <v>34000</v>
      </c>
      <c r="AC163" s="42" t="n">
        <f aca="false">IFERROR(AB163/X163,0)</f>
        <v>0.696643936041851</v>
      </c>
      <c r="AD163" s="57" t="str">
        <f aca="false">IF(ISNUMBER(SEARCH("Mobile",E163)),"EXCLUDED",IF(AB163&gt;=Y163,"PASS",IF(AB163&gt;=X163,"MARGINAL","FAIL")))</f>
        <v>FAIL</v>
      </c>
      <c r="AE163" s="35"/>
    </row>
    <row r="164" customFormat="false" ht="15" hidden="false" customHeight="false" outlineLevel="0" collapsed="false">
      <c r="A164" s="27" t="s">
        <v>812</v>
      </c>
      <c r="B164" s="27" t="s">
        <v>813</v>
      </c>
      <c r="C164" s="27" t="s">
        <v>82</v>
      </c>
      <c r="D164" s="27" t="s">
        <v>482</v>
      </c>
      <c r="E164" s="27" t="s">
        <v>506</v>
      </c>
      <c r="F164" s="27" t="n">
        <v>3</v>
      </c>
      <c r="G164" s="27" t="n">
        <v>2</v>
      </c>
      <c r="H164" s="52" t="n">
        <v>1591</v>
      </c>
      <c r="I164" s="13" t="n">
        <v>2001</v>
      </c>
      <c r="J164" s="19" t="n">
        <v>414900</v>
      </c>
      <c r="K164" s="13" t="n">
        <v>131</v>
      </c>
      <c r="L164" s="27" t="s">
        <v>814</v>
      </c>
      <c r="M164" s="19" t="n">
        <v>270000</v>
      </c>
      <c r="N164" s="19" t="n">
        <v>412612</v>
      </c>
      <c r="O164" s="27" t="s">
        <v>463</v>
      </c>
      <c r="P164" s="27" t="s">
        <v>154</v>
      </c>
      <c r="Q164" s="27" t="s">
        <v>154</v>
      </c>
      <c r="R164" s="27" t="s">
        <v>69</v>
      </c>
      <c r="S164" s="27" t="s">
        <v>633</v>
      </c>
      <c r="T164" s="28" t="n">
        <f aca="false">Assumptions!$C$15</f>
        <v>0.25</v>
      </c>
      <c r="U164" s="21" t="n">
        <f aca="false">J164*(1-T164)</f>
        <v>311175</v>
      </c>
      <c r="V164" s="29" t="n">
        <f aca="false">IF((1-T164)&gt;0.75,Assumptions!$C$11,IF((1-T164)&gt;0.7,Assumptions!$C$12,Assumptions!$C$13))</f>
        <v>0.0725</v>
      </c>
      <c r="W164" s="21" t="n">
        <f aca="false">PMT(V164/12,Assumptions!$C$14,-U164)+J164*INDEX(Assumptions!$C$28:$C$34,MATCH(C164,Assumptions!$B$28:$B$34,0))/12+(INDEX(Assumptions!$D$28:$D$34,MATCH(C164,Assumptions!$B$28:$B$34,0))+INDEX(Assumptions!$C$22:$C$25,MATCH(R164,Assumptions!$B$22:$B$25,0)))/12</f>
        <v>3256.19120613152</v>
      </c>
      <c r="X164" s="21" t="n">
        <f aca="false">W164*12*$B$18/Assumptions!$C$18</f>
        <v>48842.8680919728</v>
      </c>
      <c r="Y164" s="21" t="n">
        <f aca="false">W164*12*$B$19/Assumptions!$C$18</f>
        <v>61053.585114966</v>
      </c>
      <c r="Z164" s="21" t="n">
        <f aca="false">J164*(T164+Assumptions!$C$16)</f>
        <v>120321</v>
      </c>
      <c r="AA164" s="53" t="n">
        <f aca="false">IF(ISNUMBER(F164),F164,IF(H164&gt;=2000,4,3))</f>
        <v>3</v>
      </c>
      <c r="AB164" s="21" t="n">
        <f aca="false">IFERROR(INDEX($E$18:$H$25,MATCH(D164,$D$18:$D$25,0),1+IF(AA164&gt;=4,2,0)+IF(Q164="Y",1,0)),0)</f>
        <v>34000</v>
      </c>
      <c r="AC164" s="30" t="n">
        <f aca="false">IFERROR(AB164/X164,0)</f>
        <v>0.696109817629399</v>
      </c>
      <c r="AD164" s="4" t="str">
        <f aca="false">IF(ISNUMBER(SEARCH("Mobile",E164)),"EXCLUDED",IF(AB164&gt;=Y164,"PASS",IF(AB164&gt;=X164,"MARGINAL","FAIL")))</f>
        <v>FAIL</v>
      </c>
      <c r="AE164" s="26"/>
    </row>
    <row r="165" customFormat="false" ht="15" hidden="false" customHeight="false" outlineLevel="0" collapsed="false">
      <c r="A165" s="36" t="s">
        <v>815</v>
      </c>
      <c r="B165" s="36" t="s">
        <v>661</v>
      </c>
      <c r="C165" s="36" t="s">
        <v>82</v>
      </c>
      <c r="D165" s="36" t="s">
        <v>482</v>
      </c>
      <c r="E165" s="36" t="s">
        <v>506</v>
      </c>
      <c r="F165" s="36" t="n">
        <v>3</v>
      </c>
      <c r="G165" s="36" t="n">
        <v>2</v>
      </c>
      <c r="H165" s="55" t="n">
        <v>1460</v>
      </c>
      <c r="I165" s="34" t="n">
        <v>1997</v>
      </c>
      <c r="J165" s="37" t="n">
        <v>414999</v>
      </c>
      <c r="K165" s="34" t="n">
        <v>102</v>
      </c>
      <c r="L165" s="36" t="s">
        <v>816</v>
      </c>
      <c r="M165" s="37" t="n">
        <v>116900</v>
      </c>
      <c r="N165" s="37" t="n">
        <v>407615</v>
      </c>
      <c r="O165" s="36" t="s">
        <v>458</v>
      </c>
      <c r="P165" s="36" t="s">
        <v>154</v>
      </c>
      <c r="Q165" s="36" t="s">
        <v>154</v>
      </c>
      <c r="R165" s="36" t="s">
        <v>69</v>
      </c>
      <c r="S165" s="36" t="s">
        <v>516</v>
      </c>
      <c r="T165" s="39" t="n">
        <f aca="false">Assumptions!$C$15</f>
        <v>0.25</v>
      </c>
      <c r="U165" s="40" t="n">
        <f aca="false">J165*(1-T165)</f>
        <v>311249.25</v>
      </c>
      <c r="V165" s="41" t="n">
        <f aca="false">IF((1-T165)&gt;0.75,Assumptions!$C$11,IF((1-T165)&gt;0.7,Assumptions!$C$12,Assumptions!$C$13))</f>
        <v>0.0725</v>
      </c>
      <c r="W165" s="40" t="n">
        <f aca="false">PMT(V165/12,Assumptions!$C$14,-U165)+J165*INDEX(Assumptions!$C$28:$C$34,MATCH(C165,Assumptions!$B$28:$B$34,0))/12+(INDEX(Assumptions!$D$28:$D$34,MATCH(C165,Assumptions!$B$28:$B$34,0))+INDEX(Assumptions!$C$22:$C$25,MATCH(R165,Assumptions!$B$22:$B$25,0)))/12</f>
        <v>3256.80909701946</v>
      </c>
      <c r="X165" s="40" t="n">
        <f aca="false">W165*12*$B$18/Assumptions!$C$18</f>
        <v>48852.136455292</v>
      </c>
      <c r="Y165" s="40" t="n">
        <f aca="false">W165*12*$B$19/Assumptions!$C$18</f>
        <v>61065.1705691149</v>
      </c>
      <c r="Z165" s="40" t="n">
        <f aca="false">J165*(T165+Assumptions!$C$16)</f>
        <v>120349.71</v>
      </c>
      <c r="AA165" s="56" t="n">
        <f aca="false">IF(ISNUMBER(F165),F165,IF(H165&gt;=2000,4,3))</f>
        <v>3</v>
      </c>
      <c r="AB165" s="40" t="n">
        <f aca="false">IFERROR(INDEX($E$18:$H$25,MATCH(D165,$D$18:$D$25,0),1+IF(AA165&gt;=4,2,0)+IF(Q165="Y",1,0)),0)</f>
        <v>34000</v>
      </c>
      <c r="AC165" s="42" t="n">
        <f aca="false">IFERROR(AB165/X165,0)</f>
        <v>0.695977749737021</v>
      </c>
      <c r="AD165" s="57" t="str">
        <f aca="false">IF(ISNUMBER(SEARCH("Mobile",E165)),"EXCLUDED",IF(AB165&gt;=Y165,"PASS",IF(AB165&gt;=X165,"MARGINAL","FAIL")))</f>
        <v>FAIL</v>
      </c>
      <c r="AE165" s="35"/>
    </row>
    <row r="166" customFormat="false" ht="15" hidden="false" customHeight="false" outlineLevel="0" collapsed="false">
      <c r="A166" s="27" t="s">
        <v>817</v>
      </c>
      <c r="B166" s="27" t="s">
        <v>607</v>
      </c>
      <c r="C166" s="27" t="s">
        <v>80</v>
      </c>
      <c r="D166" s="27" t="s">
        <v>480</v>
      </c>
      <c r="E166" s="27" t="s">
        <v>506</v>
      </c>
      <c r="F166" s="27" t="n">
        <v>3</v>
      </c>
      <c r="G166" s="27" t="n">
        <v>2</v>
      </c>
      <c r="H166" s="52" t="n">
        <v>1811</v>
      </c>
      <c r="I166" s="13" t="n">
        <v>2003</v>
      </c>
      <c r="J166" s="19" t="n">
        <v>439000</v>
      </c>
      <c r="K166" s="13" t="n">
        <v>123</v>
      </c>
      <c r="L166" s="27" t="s">
        <v>818</v>
      </c>
      <c r="M166" s="19" t="n">
        <v>168500</v>
      </c>
      <c r="N166" s="19" t="n">
        <v>430661</v>
      </c>
      <c r="O166" s="27" t="s">
        <v>458</v>
      </c>
      <c r="P166" s="27" t="s">
        <v>154</v>
      </c>
      <c r="Q166" s="27" t="s">
        <v>154</v>
      </c>
      <c r="R166" s="27" t="s">
        <v>69</v>
      </c>
      <c r="S166" s="27" t="s">
        <v>597</v>
      </c>
      <c r="T166" s="28" t="n">
        <f aca="false">Assumptions!$C$15</f>
        <v>0.25</v>
      </c>
      <c r="U166" s="21" t="n">
        <f aca="false">J166*(1-T166)</f>
        <v>329250</v>
      </c>
      <c r="V166" s="29" t="n">
        <f aca="false">IF((1-T166)&gt;0.75,Assumptions!$C$11,IF((1-T166)&gt;0.7,Assumptions!$C$12,Assumptions!$C$13))</f>
        <v>0.0725</v>
      </c>
      <c r="W166" s="21" t="n">
        <f aca="false">PMT(V166/12,Assumptions!$C$14,-U166)+J166*INDEX(Assumptions!$C$28:$C$34,MATCH(C166,Assumptions!$B$28:$B$34,0))/12+(INDEX(Assumptions!$D$28:$D$34,MATCH(C166,Assumptions!$B$28:$B$34,0))+INDEX(Assumptions!$C$22:$C$25,MATCH(R166,Assumptions!$B$22:$B$25,0)))/12</f>
        <v>3461.48206875168</v>
      </c>
      <c r="X166" s="21" t="n">
        <f aca="false">W166*12*$B$18/Assumptions!$C$18</f>
        <v>51922.2310312752</v>
      </c>
      <c r="Y166" s="21" t="n">
        <f aca="false">W166*12*$B$19/Assumptions!$C$18</f>
        <v>64902.788789094</v>
      </c>
      <c r="Z166" s="21" t="n">
        <f aca="false">J166*(T166+Assumptions!$C$16)</f>
        <v>127310</v>
      </c>
      <c r="AA166" s="53" t="n">
        <f aca="false">IF(ISNUMBER(F166),F166,IF(H166&gt;=2000,4,3))</f>
        <v>3</v>
      </c>
      <c r="AB166" s="21" t="n">
        <f aca="false">IFERROR(INDEX($E$18:$H$25,MATCH(D166,$D$18:$D$25,0),1+IF(AA166&gt;=4,2,0)+IF(Q166="Y",1,0)),0)</f>
        <v>36000</v>
      </c>
      <c r="AC166" s="30" t="n">
        <f aca="false">IFERROR(AB166/X166,0)</f>
        <v>0.693344628783681</v>
      </c>
      <c r="AD166" s="4" t="str">
        <f aca="false">IF(ISNUMBER(SEARCH("Mobile",E166)),"EXCLUDED",IF(AB166&gt;=Y166,"PASS",IF(AB166&gt;=X166,"MARGINAL","FAIL")))</f>
        <v>FAIL</v>
      </c>
      <c r="AE166" s="26"/>
    </row>
    <row r="167" customFormat="false" ht="15" hidden="false" customHeight="false" outlineLevel="0" collapsed="false">
      <c r="A167" s="36" t="s">
        <v>819</v>
      </c>
      <c r="B167" s="36" t="s">
        <v>231</v>
      </c>
      <c r="C167" s="36" t="s">
        <v>82</v>
      </c>
      <c r="D167" s="36" t="s">
        <v>482</v>
      </c>
      <c r="E167" s="36" t="s">
        <v>506</v>
      </c>
      <c r="F167" s="36" t="n">
        <v>3</v>
      </c>
      <c r="G167" s="36" t="n">
        <v>2</v>
      </c>
      <c r="H167" s="55" t="n">
        <v>1383</v>
      </c>
      <c r="I167" s="34" t="n">
        <v>1971</v>
      </c>
      <c r="J167" s="37" t="n">
        <v>419000</v>
      </c>
      <c r="K167" s="34" t="n">
        <v>80</v>
      </c>
      <c r="L167" s="36" t="s">
        <v>820</v>
      </c>
      <c r="M167" s="37" t="n">
        <v>84500</v>
      </c>
      <c r="N167" s="37" t="n">
        <v>424979</v>
      </c>
      <c r="O167" s="36" t="s">
        <v>458</v>
      </c>
      <c r="P167" s="36" t="s">
        <v>154</v>
      </c>
      <c r="Q167" s="36" t="s">
        <v>154</v>
      </c>
      <c r="R167" s="36" t="s">
        <v>69</v>
      </c>
      <c r="S167" s="36" t="s">
        <v>633</v>
      </c>
      <c r="T167" s="39" t="n">
        <f aca="false">Assumptions!$C$15</f>
        <v>0.25</v>
      </c>
      <c r="U167" s="40" t="n">
        <f aca="false">J167*(1-T167)</f>
        <v>314250</v>
      </c>
      <c r="V167" s="41" t="n">
        <f aca="false">IF((1-T167)&gt;0.75,Assumptions!$C$11,IF((1-T167)&gt;0.7,Assumptions!$C$12,Assumptions!$C$13))</f>
        <v>0.0725</v>
      </c>
      <c r="W167" s="40" t="n">
        <f aca="false">PMT(V167/12,Assumptions!$C$14,-U167)+J167*INDEX(Assumptions!$C$28:$C$34,MATCH(C167,Assumptions!$B$28:$B$34,0))/12+(INDEX(Assumptions!$D$28:$D$34,MATCH(C167,Assumptions!$B$28:$B$34,0))+INDEX(Assumptions!$C$22:$C$25,MATCH(R167,Assumptions!$B$22:$B$25,0)))/12</f>
        <v>3281.78062674325</v>
      </c>
      <c r="X167" s="40" t="n">
        <f aca="false">W167*12*$B$18/Assumptions!$C$18</f>
        <v>49226.7094011487</v>
      </c>
      <c r="Y167" s="40" t="n">
        <f aca="false">W167*12*$B$19/Assumptions!$C$18</f>
        <v>61533.3867514359</v>
      </c>
      <c r="Z167" s="40" t="n">
        <f aca="false">J167*(T167+Assumptions!$C$16)</f>
        <v>121510</v>
      </c>
      <c r="AA167" s="56" t="n">
        <f aca="false">IF(ISNUMBER(F167),F167,IF(H167&gt;=2000,4,3))</f>
        <v>3</v>
      </c>
      <c r="AB167" s="40" t="n">
        <f aca="false">IFERROR(INDEX($E$18:$H$25,MATCH(D167,$D$18:$D$25,0),1+IF(AA167&gt;=4,2,0)+IF(Q167="Y",1,0)),0)</f>
        <v>34000</v>
      </c>
      <c r="AC167" s="42" t="n">
        <f aca="false">IFERROR(AB167/X167,0)</f>
        <v>0.69068195728733</v>
      </c>
      <c r="AD167" s="57" t="str">
        <f aca="false">IF(ISNUMBER(SEARCH("Mobile",E167)),"EXCLUDED",IF(AB167&gt;=Y167,"PASS",IF(AB167&gt;=X167,"MARGINAL","FAIL")))</f>
        <v>FAIL</v>
      </c>
      <c r="AE167" s="35"/>
    </row>
    <row r="168" customFormat="false" ht="15" hidden="false" customHeight="false" outlineLevel="0" collapsed="false">
      <c r="A168" s="27" t="s">
        <v>821</v>
      </c>
      <c r="B168" s="27" t="s">
        <v>195</v>
      </c>
      <c r="C168" s="27" t="s">
        <v>82</v>
      </c>
      <c r="D168" s="27" t="s">
        <v>482</v>
      </c>
      <c r="E168" s="27" t="s">
        <v>506</v>
      </c>
      <c r="F168" s="27" t="n">
        <v>3</v>
      </c>
      <c r="G168" s="27" t="n">
        <v>2</v>
      </c>
      <c r="H168" s="52" t="n">
        <v>1676</v>
      </c>
      <c r="I168" s="13" t="n">
        <v>1961</v>
      </c>
      <c r="J168" s="19" t="n">
        <v>420000</v>
      </c>
      <c r="K168" s="13" t="n">
        <v>81</v>
      </c>
      <c r="L168" s="27" t="s">
        <v>822</v>
      </c>
      <c r="M168" s="19" t="n">
        <v>390000</v>
      </c>
      <c r="N168" s="19" t="n">
        <v>106868</v>
      </c>
      <c r="O168" s="27" t="s">
        <v>463</v>
      </c>
      <c r="P168" s="27" t="s">
        <v>154</v>
      </c>
      <c r="Q168" s="27" t="s">
        <v>154</v>
      </c>
      <c r="R168" s="27" t="s">
        <v>69</v>
      </c>
      <c r="S168" s="27" t="s">
        <v>633</v>
      </c>
      <c r="T168" s="28" t="n">
        <f aca="false">Assumptions!$C$15</f>
        <v>0.25</v>
      </c>
      <c r="U168" s="21" t="n">
        <f aca="false">J168*(1-T168)</f>
        <v>315000</v>
      </c>
      <c r="V168" s="29" t="n">
        <f aca="false">IF((1-T168)&gt;0.75,Assumptions!$C$11,IF((1-T168)&gt;0.7,Assumptions!$C$12,Assumptions!$C$13))</f>
        <v>0.0725</v>
      </c>
      <c r="W168" s="21" t="n">
        <f aca="false">PMT(V168/12,Assumptions!$C$14,-U168)+J168*INDEX(Assumptions!$C$28:$C$34,MATCH(C168,Assumptions!$B$28:$B$34,0))/12+(INDEX(Assumptions!$D$28:$D$34,MATCH(C168,Assumptions!$B$28:$B$34,0))+INDEX(Assumptions!$C$22:$C$25,MATCH(R168,Assumptions!$B$22:$B$25,0)))/12</f>
        <v>3288.02194884367</v>
      </c>
      <c r="X168" s="21" t="n">
        <f aca="false">W168*12*$B$18/Assumptions!$C$18</f>
        <v>49320.3292326551</v>
      </c>
      <c r="Y168" s="21" t="n">
        <f aca="false">W168*12*$B$19/Assumptions!$C$18</f>
        <v>61650.4115408188</v>
      </c>
      <c r="Z168" s="21" t="n">
        <f aca="false">J168*(T168+Assumptions!$C$16)</f>
        <v>121800</v>
      </c>
      <c r="AA168" s="53" t="n">
        <f aca="false">IF(ISNUMBER(F168),F168,IF(H168&gt;=2000,4,3))</f>
        <v>3</v>
      </c>
      <c r="AB168" s="21" t="n">
        <f aca="false">IFERROR(INDEX($E$18:$H$25,MATCH(D168,$D$18:$D$25,0),1+IF(AA168&gt;=4,2,0)+IF(Q168="Y",1,0)),0)</f>
        <v>34000</v>
      </c>
      <c r="AC168" s="30" t="n">
        <f aca="false">IFERROR(AB168/X168,0)</f>
        <v>0.68937090504028</v>
      </c>
      <c r="AD168" s="4" t="str">
        <f aca="false">IF(ISNUMBER(SEARCH("Mobile",E168)),"EXCLUDED",IF(AB168&gt;=Y168,"PASS",IF(AB168&gt;=X168,"MARGINAL","FAIL")))</f>
        <v>FAIL</v>
      </c>
      <c r="AE168" s="26"/>
    </row>
    <row r="169" customFormat="false" ht="15" hidden="false" customHeight="false" outlineLevel="0" collapsed="false">
      <c r="A169" s="36" t="s">
        <v>823</v>
      </c>
      <c r="B169" s="36" t="s">
        <v>676</v>
      </c>
      <c r="C169" s="36" t="s">
        <v>82</v>
      </c>
      <c r="D169" s="36" t="s">
        <v>482</v>
      </c>
      <c r="E169" s="36" t="s">
        <v>506</v>
      </c>
      <c r="F169" s="36" t="n">
        <v>5</v>
      </c>
      <c r="G169" s="36" t="n">
        <v>3</v>
      </c>
      <c r="H169" s="55" t="n">
        <v>3285</v>
      </c>
      <c r="I169" s="34" t="n">
        <v>2022</v>
      </c>
      <c r="J169" s="37" t="n">
        <v>499990</v>
      </c>
      <c r="K169" s="34" t="n">
        <v>108</v>
      </c>
      <c r="L169" s="36" t="s">
        <v>824</v>
      </c>
      <c r="M169" s="37" t="n">
        <v>465000</v>
      </c>
      <c r="N169" s="37" t="n">
        <v>520883</v>
      </c>
      <c r="O169" s="36" t="s">
        <v>448</v>
      </c>
      <c r="P169" s="36" t="s">
        <v>154</v>
      </c>
      <c r="Q169" s="36" t="s">
        <v>154</v>
      </c>
      <c r="R169" s="36" t="s">
        <v>75</v>
      </c>
      <c r="S169" s="36" t="s">
        <v>633</v>
      </c>
      <c r="T169" s="39" t="n">
        <f aca="false">Assumptions!$C$15</f>
        <v>0.25</v>
      </c>
      <c r="U169" s="40" t="n">
        <f aca="false">J169*(1-T169)</f>
        <v>374992.5</v>
      </c>
      <c r="V169" s="41" t="n">
        <f aca="false">IF((1-T169)&gt;0.75,Assumptions!$C$11,IF((1-T169)&gt;0.7,Assumptions!$C$12,Assumptions!$C$13))</f>
        <v>0.0725</v>
      </c>
      <c r="W169" s="40" t="n">
        <f aca="false">PMT(V169/12,Assumptions!$C$14,-U169)+J169*INDEX(Assumptions!$C$28:$C$34,MATCH(C169,Assumptions!$B$28:$B$34,0))/12+(INDEX(Assumptions!$D$28:$D$34,MATCH(C169,Assumptions!$B$28:$B$34,0))+INDEX(Assumptions!$C$22:$C$25,MATCH(R169,Assumptions!$B$22:$B$25,0)))/12</f>
        <v>3870.59863698972</v>
      </c>
      <c r="X169" s="40" t="n">
        <f aca="false">W169*12*$B$18/Assumptions!$C$18</f>
        <v>58058.9795548457</v>
      </c>
      <c r="Y169" s="40" t="n">
        <f aca="false">W169*12*$B$19/Assumptions!$C$18</f>
        <v>72573.7244435572</v>
      </c>
      <c r="Z169" s="40" t="n">
        <f aca="false">J169*(T169+Assumptions!$C$16)</f>
        <v>144997.1</v>
      </c>
      <c r="AA169" s="56" t="n">
        <f aca="false">IF(ISNUMBER(F169),F169,IF(H169&gt;=2000,4,3))</f>
        <v>5</v>
      </c>
      <c r="AB169" s="40" t="n">
        <f aca="false">IFERROR(INDEX($E$18:$H$25,MATCH(D169,$D$18:$D$25,0),1+IF(AA169&gt;=4,2,0)+IF(Q169="Y",1,0)),0)</f>
        <v>40000</v>
      </c>
      <c r="AC169" s="42" t="n">
        <f aca="false">IFERROR(AB169/X169,0)</f>
        <v>0.688954582162675</v>
      </c>
      <c r="AD169" s="57" t="str">
        <f aca="false">IF(ISNUMBER(SEARCH("Mobile",E169)),"EXCLUDED",IF(AB169&gt;=Y169,"PASS",IF(AB169&gt;=X169,"MARGINAL","FAIL")))</f>
        <v>FAIL</v>
      </c>
      <c r="AE169" s="35"/>
    </row>
    <row r="170" customFormat="false" ht="15" hidden="false" customHeight="false" outlineLevel="0" collapsed="false">
      <c r="A170" s="27" t="s">
        <v>825</v>
      </c>
      <c r="B170" s="27" t="s">
        <v>826</v>
      </c>
      <c r="C170" s="27" t="s">
        <v>82</v>
      </c>
      <c r="D170" s="27" t="s">
        <v>482</v>
      </c>
      <c r="E170" s="27" t="s">
        <v>506</v>
      </c>
      <c r="F170" s="27" t="n">
        <v>4</v>
      </c>
      <c r="G170" s="27" t="n">
        <v>2</v>
      </c>
      <c r="H170" s="52" t="n">
        <v>1888</v>
      </c>
      <c r="I170" s="13" t="n">
        <v>2022</v>
      </c>
      <c r="J170" s="19" t="n">
        <v>512000</v>
      </c>
      <c r="K170" s="13" t="n">
        <v>193</v>
      </c>
      <c r="L170" s="27" t="s">
        <v>827</v>
      </c>
      <c r="M170" s="19" t="n">
        <v>473800</v>
      </c>
      <c r="N170" s="19" t="n">
        <v>139658</v>
      </c>
      <c r="O170" s="27" t="s">
        <v>448</v>
      </c>
      <c r="P170" s="27" t="s">
        <v>154</v>
      </c>
      <c r="Q170" s="27" t="s">
        <v>154</v>
      </c>
      <c r="R170" s="27" t="s">
        <v>75</v>
      </c>
      <c r="S170" s="27" t="s">
        <v>633</v>
      </c>
      <c r="T170" s="28" t="n">
        <f aca="false">Assumptions!$C$15</f>
        <v>0.25</v>
      </c>
      <c r="U170" s="21" t="n">
        <f aca="false">J170*(1-T170)</f>
        <v>384000</v>
      </c>
      <c r="V170" s="29" t="n">
        <f aca="false">IF((1-T170)&gt;0.75,Assumptions!$C$11,IF((1-T170)&gt;0.7,Assumptions!$C$12,Assumptions!$C$13))</f>
        <v>0.0725</v>
      </c>
      <c r="W170" s="21" t="n">
        <f aca="false">PMT(V170/12,Assumptions!$C$14,-U170)+J170*INDEX(Assumptions!$C$28:$C$34,MATCH(C170,Assumptions!$B$28:$B$34,0))/12+(INDEX(Assumptions!$D$28:$D$34,MATCH(C170,Assumptions!$B$28:$B$34,0))+INDEX(Assumptions!$C$22:$C$25,MATCH(R170,Assumptions!$B$22:$B$25,0)))/12</f>
        <v>3945.55691541578</v>
      </c>
      <c r="X170" s="21" t="n">
        <f aca="false">W170*12*$B$18/Assumptions!$C$18</f>
        <v>59183.3537312367</v>
      </c>
      <c r="Y170" s="21" t="n">
        <f aca="false">W170*12*$B$19/Assumptions!$C$18</f>
        <v>73979.1921640458</v>
      </c>
      <c r="Z170" s="21" t="n">
        <f aca="false">J170*(T170+Assumptions!$C$16)</f>
        <v>148480</v>
      </c>
      <c r="AA170" s="53" t="n">
        <f aca="false">IF(ISNUMBER(F170),F170,IF(H170&gt;=2000,4,3))</f>
        <v>4</v>
      </c>
      <c r="AB170" s="21" t="n">
        <f aca="false">IFERROR(INDEX($E$18:$H$25,MATCH(D170,$D$18:$D$25,0),1+IF(AA170&gt;=4,2,0)+IF(Q170="Y",1,0)),0)</f>
        <v>40000</v>
      </c>
      <c r="AC170" s="30" t="n">
        <f aca="false">IFERROR(AB170/X170,0)</f>
        <v>0.675865720311288</v>
      </c>
      <c r="AD170" s="4" t="str">
        <f aca="false">IF(ISNUMBER(SEARCH("Mobile",E170)),"EXCLUDED",IF(AB170&gt;=Y170,"PASS",IF(AB170&gt;=X170,"MARGINAL","FAIL")))</f>
        <v>FAIL</v>
      </c>
      <c r="AE170" s="26"/>
    </row>
    <row r="171" customFormat="false" ht="15" hidden="false" customHeight="false" outlineLevel="0" collapsed="false">
      <c r="A171" s="36" t="s">
        <v>828</v>
      </c>
      <c r="B171" s="36" t="s">
        <v>743</v>
      </c>
      <c r="C171" s="36" t="s">
        <v>85</v>
      </c>
      <c r="D171" s="36" t="s">
        <v>486</v>
      </c>
      <c r="E171" s="36" t="s">
        <v>506</v>
      </c>
      <c r="F171" s="36" t="n">
        <v>3</v>
      </c>
      <c r="G171" s="36" t="n">
        <v>2</v>
      </c>
      <c r="H171" s="55" t="n">
        <v>1197</v>
      </c>
      <c r="I171" s="34" t="n">
        <v>1970</v>
      </c>
      <c r="J171" s="37" t="n">
        <v>640000</v>
      </c>
      <c r="K171" s="34" t="n">
        <v>151</v>
      </c>
      <c r="L171" s="36" t="s">
        <v>829</v>
      </c>
      <c r="M171" s="37" t="n">
        <v>710000</v>
      </c>
      <c r="N171" s="37" t="n">
        <v>118192</v>
      </c>
      <c r="O171" s="36" t="s">
        <v>458</v>
      </c>
      <c r="P171" s="36" t="s">
        <v>154</v>
      </c>
      <c r="Q171" s="36" t="s">
        <v>145</v>
      </c>
      <c r="R171" s="36" t="s">
        <v>71</v>
      </c>
      <c r="S171" s="36" t="s">
        <v>702</v>
      </c>
      <c r="T171" s="39" t="n">
        <f aca="false">Assumptions!$C$15</f>
        <v>0.25</v>
      </c>
      <c r="U171" s="40" t="n">
        <f aca="false">J171*(1-T171)</f>
        <v>480000</v>
      </c>
      <c r="V171" s="41" t="n">
        <f aca="false">IF((1-T171)&gt;0.75,Assumptions!$C$11,IF((1-T171)&gt;0.7,Assumptions!$C$12,Assumptions!$C$13))</f>
        <v>0.0725</v>
      </c>
      <c r="W171" s="40" t="n">
        <f aca="false">PMT(V171/12,Assumptions!$C$14,-U171)+J171*INDEX(Assumptions!$C$28:$C$34,MATCH(C171,Assumptions!$B$28:$B$34,0))/12+(INDEX(Assumptions!$D$28:$D$34,MATCH(C171,Assumptions!$B$28:$B$34,0))+INDEX(Assumptions!$C$22:$C$25,MATCH(R171,Assumptions!$B$22:$B$25,0)))/12</f>
        <v>5139.44614426972</v>
      </c>
      <c r="X171" s="40" t="n">
        <f aca="false">W171*12*$B$18/Assumptions!$C$18</f>
        <v>77091.6921640458</v>
      </c>
      <c r="Y171" s="40" t="n">
        <f aca="false">W171*12*$B$19/Assumptions!$C$18</f>
        <v>96364.6152050573</v>
      </c>
      <c r="Z171" s="40" t="n">
        <f aca="false">J171*(T171+Assumptions!$C$16)</f>
        <v>185600</v>
      </c>
      <c r="AA171" s="56" t="n">
        <f aca="false">IF(ISNUMBER(F171),F171,IF(H171&gt;=2000,4,3))</f>
        <v>3</v>
      </c>
      <c r="AB171" s="40" t="n">
        <f aca="false">IFERROR(INDEX($E$18:$H$25,MATCH(D171,$D$18:$D$25,0),1+IF(AA171&gt;=4,2,0)+IF(Q171="Y",1,0)),0)</f>
        <v>52000</v>
      </c>
      <c r="AC171" s="42" t="n">
        <f aca="false">IFERROR(AB171/X171,0)</f>
        <v>0.674521450240677</v>
      </c>
      <c r="AD171" s="57" t="str">
        <f aca="false">IF(ISNUMBER(SEARCH("Mobile",E171)),"EXCLUDED",IF(AB171&gt;=Y171,"PASS",IF(AB171&gt;=X171,"MARGINAL","FAIL")))</f>
        <v>FAIL</v>
      </c>
      <c r="AE171" s="35"/>
    </row>
    <row r="172" customFormat="false" ht="15" hidden="false" customHeight="false" outlineLevel="0" collapsed="false">
      <c r="A172" s="27" t="s">
        <v>830</v>
      </c>
      <c r="B172" s="27" t="s">
        <v>676</v>
      </c>
      <c r="C172" s="27" t="s">
        <v>82</v>
      </c>
      <c r="D172" s="27" t="s">
        <v>482</v>
      </c>
      <c r="E172" s="27" t="s">
        <v>506</v>
      </c>
      <c r="F172" s="27" t="n">
        <v>3</v>
      </c>
      <c r="G172" s="27" t="n">
        <v>2</v>
      </c>
      <c r="H172" s="52" t="n">
        <v>1628</v>
      </c>
      <c r="I172" s="13" t="n">
        <v>2003</v>
      </c>
      <c r="J172" s="19" t="n">
        <v>385000</v>
      </c>
      <c r="K172" s="13" t="n">
        <v>19</v>
      </c>
      <c r="L172" s="27" t="s">
        <v>831</v>
      </c>
      <c r="M172" s="19" t="n">
        <v>308000</v>
      </c>
      <c r="N172" s="19" t="n">
        <v>367671</v>
      </c>
      <c r="O172" s="27" t="s">
        <v>453</v>
      </c>
      <c r="P172" s="27" t="s">
        <v>154</v>
      </c>
      <c r="Q172" s="27" t="s">
        <v>154</v>
      </c>
      <c r="R172" s="27" t="s">
        <v>71</v>
      </c>
      <c r="S172" s="27" t="s">
        <v>633</v>
      </c>
      <c r="T172" s="28" t="n">
        <f aca="false">Assumptions!$C$15</f>
        <v>0.25</v>
      </c>
      <c r="U172" s="21" t="n">
        <f aca="false">J172*(1-T172)</f>
        <v>288750</v>
      </c>
      <c r="V172" s="29" t="n">
        <f aca="false">IF((1-T172)&gt;0.75,Assumptions!$C$11,IF((1-T172)&gt;0.7,Assumptions!$C$12,Assumptions!$C$13))</f>
        <v>0.0725</v>
      </c>
      <c r="W172" s="21" t="n">
        <f aca="false">PMT(V172/12,Assumptions!$C$14,-U172)+J172*INDEX(Assumptions!$C$28:$C$34,MATCH(C172,Assumptions!$B$28:$B$34,0))/12+(INDEX(Assumptions!$D$28:$D$34,MATCH(C172,Assumptions!$B$28:$B$34,0))+INDEX(Assumptions!$C$22:$C$25,MATCH(R172,Assumptions!$B$22:$B$25,0)))/12</f>
        <v>3361.24234199559</v>
      </c>
      <c r="X172" s="21" t="n">
        <f aca="false">W172*12*$B$18/Assumptions!$C$18</f>
        <v>50418.6351299338</v>
      </c>
      <c r="Y172" s="21" t="n">
        <f aca="false">W172*12*$B$19/Assumptions!$C$18</f>
        <v>63023.2939124173</v>
      </c>
      <c r="Z172" s="21" t="n">
        <f aca="false">J172*(T172+Assumptions!$C$16)</f>
        <v>111650</v>
      </c>
      <c r="AA172" s="53" t="n">
        <f aca="false">IF(ISNUMBER(F172),F172,IF(H172&gt;=2000,4,3))</f>
        <v>3</v>
      </c>
      <c r="AB172" s="21" t="n">
        <f aca="false">IFERROR(INDEX($E$18:$H$25,MATCH(D172,$D$18:$D$25,0),1+IF(AA172&gt;=4,2,0)+IF(Q172="Y",1,0)),0)</f>
        <v>34000</v>
      </c>
      <c r="AC172" s="30" t="n">
        <f aca="false">IFERROR(AB172/X172,0)</f>
        <v>0.674353835885851</v>
      </c>
      <c r="AD172" s="4" t="str">
        <f aca="false">IF(ISNUMBER(SEARCH("Mobile",E172)),"EXCLUDED",IF(AB172&gt;=Y172,"PASS",IF(AB172&gt;=X172,"MARGINAL","FAIL")))</f>
        <v>FAIL</v>
      </c>
      <c r="AE172" s="26"/>
    </row>
    <row r="173" customFormat="false" ht="15" hidden="false" customHeight="false" outlineLevel="0" collapsed="false">
      <c r="A173" s="36" t="s">
        <v>832</v>
      </c>
      <c r="B173" s="36" t="s">
        <v>676</v>
      </c>
      <c r="C173" s="36" t="s">
        <v>82</v>
      </c>
      <c r="D173" s="36" t="s">
        <v>482</v>
      </c>
      <c r="E173" s="36" t="s">
        <v>506</v>
      </c>
      <c r="F173" s="36" t="n">
        <v>3</v>
      </c>
      <c r="G173" s="36" t="n">
        <v>2</v>
      </c>
      <c r="H173" s="55" t="n">
        <v>1910</v>
      </c>
      <c r="I173" s="34" t="n">
        <v>2012</v>
      </c>
      <c r="J173" s="37" t="n">
        <v>625000</v>
      </c>
      <c r="K173" s="34" t="n">
        <v>7</v>
      </c>
      <c r="L173" s="36" t="s">
        <v>833</v>
      </c>
      <c r="M173" s="37" t="n">
        <v>295200</v>
      </c>
      <c r="N173" s="37" t="n">
        <v>531862</v>
      </c>
      <c r="O173" s="36" t="s">
        <v>448</v>
      </c>
      <c r="P173" s="36" t="s">
        <v>154</v>
      </c>
      <c r="Q173" s="36" t="s">
        <v>145</v>
      </c>
      <c r="R173" s="36" t="s">
        <v>69</v>
      </c>
      <c r="S173" s="36" t="s">
        <v>633</v>
      </c>
      <c r="T173" s="39" t="n">
        <f aca="false">Assumptions!$C$15</f>
        <v>0.25</v>
      </c>
      <c r="U173" s="40" t="n">
        <f aca="false">J173*(1-T173)</f>
        <v>468750</v>
      </c>
      <c r="V173" s="41" t="n">
        <f aca="false">IF((1-T173)&gt;0.75,Assumptions!$C$11,IF((1-T173)&gt;0.7,Assumptions!$C$12,Assumptions!$C$13))</f>
        <v>0.0725</v>
      </c>
      <c r="W173" s="40" t="n">
        <f aca="false">PMT(V173/12,Assumptions!$C$14,-U173)+J173*INDEX(Assumptions!$C$28:$C$34,MATCH(C173,Assumptions!$B$28:$B$34,0))/12+(INDEX(Assumptions!$D$28:$D$34,MATCH(C173,Assumptions!$B$28:$B$34,0))+INDEX(Assumptions!$C$22:$C$25,MATCH(R173,Assumptions!$B$22:$B$25,0)))/12</f>
        <v>4567.49297943007</v>
      </c>
      <c r="X173" s="40" t="n">
        <f aca="false">W173*12*$B$18/Assumptions!$C$18</f>
        <v>68512.394691451</v>
      </c>
      <c r="Y173" s="40" t="n">
        <f aca="false">W173*12*$B$19/Assumptions!$C$18</f>
        <v>85640.4933643137</v>
      </c>
      <c r="Z173" s="40" t="n">
        <f aca="false">J173*(T173+Assumptions!$C$16)</f>
        <v>181250</v>
      </c>
      <c r="AA173" s="56" t="n">
        <f aca="false">IF(ISNUMBER(F173),F173,IF(H173&gt;=2000,4,3))</f>
        <v>3</v>
      </c>
      <c r="AB173" s="40" t="n">
        <f aca="false">IFERROR(INDEX($E$18:$H$25,MATCH(D173,$D$18:$D$25,0),1+IF(AA173&gt;=4,2,0)+IF(Q173="Y",1,0)),0)</f>
        <v>46000</v>
      </c>
      <c r="AC173" s="42" t="n">
        <f aca="false">IFERROR(AB173/X173,0)</f>
        <v>0.671411358589396</v>
      </c>
      <c r="AD173" s="57" t="str">
        <f aca="false">IF(ISNUMBER(SEARCH("Mobile",E173)),"EXCLUDED",IF(AB173&gt;=Y173,"PASS",IF(AB173&gt;=X173,"MARGINAL","FAIL")))</f>
        <v>FAIL</v>
      </c>
      <c r="AE173" s="35"/>
    </row>
    <row r="174" customFormat="false" ht="23.85" hidden="false" customHeight="false" outlineLevel="0" collapsed="false">
      <c r="A174" s="27" t="s">
        <v>834</v>
      </c>
      <c r="B174" s="27" t="s">
        <v>683</v>
      </c>
      <c r="C174" s="27" t="s">
        <v>18</v>
      </c>
      <c r="D174" s="27" t="s">
        <v>484</v>
      </c>
      <c r="E174" s="27" t="s">
        <v>506</v>
      </c>
      <c r="F174" s="27"/>
      <c r="G174" s="27" t="n">
        <v>3</v>
      </c>
      <c r="H174" s="52" t="n">
        <v>1534</v>
      </c>
      <c r="I174" s="13" t="n">
        <v>2025</v>
      </c>
      <c r="J174" s="19" t="n">
        <v>550000</v>
      </c>
      <c r="K174" s="13" t="n">
        <v>108</v>
      </c>
      <c r="L174" s="27" t="s">
        <v>835</v>
      </c>
      <c r="M174" s="19" t="n">
        <v>80000</v>
      </c>
      <c r="N174" s="19" t="n">
        <v>225783</v>
      </c>
      <c r="O174" s="27" t="s">
        <v>453</v>
      </c>
      <c r="P174" s="27" t="s">
        <v>154</v>
      </c>
      <c r="Q174" s="27" t="s">
        <v>154</v>
      </c>
      <c r="R174" s="27" t="s">
        <v>71</v>
      </c>
      <c r="S174" s="27" t="s">
        <v>532</v>
      </c>
      <c r="T174" s="28" t="n">
        <f aca="false">Assumptions!$C$15</f>
        <v>0.25</v>
      </c>
      <c r="U174" s="21" t="n">
        <f aca="false">J174*(1-T174)</f>
        <v>412500</v>
      </c>
      <c r="V174" s="29" t="n">
        <f aca="false">IF((1-T174)&gt;0.75,Assumptions!$C$11,IF((1-T174)&gt;0.7,Assumptions!$C$12,Assumptions!$C$13))</f>
        <v>0.0725</v>
      </c>
      <c r="W174" s="21" t="n">
        <f aca="false">PMT(V174/12,Assumptions!$C$14,-U174)+J174*INDEX(Assumptions!$C$28:$C$34,MATCH(C174,Assumptions!$B$28:$B$34,0))/12+(INDEX(Assumptions!$D$28:$D$34,MATCH(C174,Assumptions!$B$28:$B$34,0))+INDEX(Assumptions!$C$22:$C$25,MATCH(R174,Assumptions!$B$22:$B$25,0)))/12</f>
        <v>4505.64382189846</v>
      </c>
      <c r="X174" s="21" t="n">
        <f aca="false">W174*12*$B$18/Assumptions!$C$18</f>
        <v>67584.6573284769</v>
      </c>
      <c r="Y174" s="21" t="n">
        <f aca="false">W174*12*$B$19/Assumptions!$C$18</f>
        <v>84480.8216605961</v>
      </c>
      <c r="Z174" s="21" t="n">
        <f aca="false">J174*(T174+Assumptions!$C$16)</f>
        <v>159500</v>
      </c>
      <c r="AA174" s="53" t="n">
        <f aca="false">IF(ISNUMBER(F174),F174,IF(H174&gt;=2000,4,3))</f>
        <v>3</v>
      </c>
      <c r="AB174" s="21" t="n">
        <f aca="false">IFERROR(INDEX($E$18:$H$25,MATCH(D174,$D$18:$D$25,0),1+IF(AA174&gt;=4,2,0)+IF(Q174="Y",1,0)),0)</f>
        <v>45000</v>
      </c>
      <c r="AC174" s="30" t="n">
        <f aca="false">IFERROR(AB174/X174,0)</f>
        <v>0.665831592239785</v>
      </c>
      <c r="AD174" s="4" t="str">
        <f aca="false">IF(ISNUMBER(SEARCH("Mobile",E174)),"EXCLUDED",IF(AB174&gt;=Y174,"PASS",IF(AB174&gt;=X174,"MARGINAL","FAIL")))</f>
        <v>FAIL</v>
      </c>
      <c r="AE174" s="26" t="s">
        <v>546</v>
      </c>
    </row>
    <row r="175" customFormat="false" ht="23.85" hidden="false" customHeight="false" outlineLevel="0" collapsed="false">
      <c r="A175" s="36" t="s">
        <v>836</v>
      </c>
      <c r="B175" s="36" t="s">
        <v>297</v>
      </c>
      <c r="C175" s="36" t="s">
        <v>18</v>
      </c>
      <c r="D175" s="36" t="s">
        <v>484</v>
      </c>
      <c r="E175" s="36" t="s">
        <v>506</v>
      </c>
      <c r="F175" s="36"/>
      <c r="G175" s="36" t="n">
        <v>2</v>
      </c>
      <c r="H175" s="55" t="n">
        <v>1640</v>
      </c>
      <c r="I175" s="34" t="n">
        <v>1959</v>
      </c>
      <c r="J175" s="37" t="n">
        <v>599000</v>
      </c>
      <c r="K175" s="34" t="n">
        <v>80</v>
      </c>
      <c r="L175" s="36" t="s">
        <v>837</v>
      </c>
      <c r="M175" s="37" t="n">
        <v>225000</v>
      </c>
      <c r="N175" s="37" t="n">
        <v>575740</v>
      </c>
      <c r="O175" s="36" t="s">
        <v>453</v>
      </c>
      <c r="P175" s="36" t="s">
        <v>154</v>
      </c>
      <c r="Q175" s="36" t="s">
        <v>154</v>
      </c>
      <c r="R175" s="36" t="s">
        <v>69</v>
      </c>
      <c r="S175" s="36" t="s">
        <v>532</v>
      </c>
      <c r="T175" s="39" t="n">
        <f aca="false">Assumptions!$C$15</f>
        <v>0.25</v>
      </c>
      <c r="U175" s="40" t="n">
        <f aca="false">J175*(1-T175)</f>
        <v>449250</v>
      </c>
      <c r="V175" s="41" t="n">
        <f aca="false">IF((1-T175)&gt;0.75,Assumptions!$C$11,IF((1-T175)&gt;0.7,Assumptions!$C$12,Assumptions!$C$13))</f>
        <v>0.0725</v>
      </c>
      <c r="W175" s="40" t="n">
        <f aca="false">PMT(V175/12,Assumptions!$C$14,-U175)+J175*INDEX(Assumptions!$C$28:$C$34,MATCH(C175,Assumptions!$B$28:$B$34,0))/12+(INDEX(Assumptions!$D$28:$D$34,MATCH(C175,Assumptions!$B$28:$B$34,0))+INDEX(Assumptions!$C$22:$C$25,MATCH(R175,Assumptions!$B$22:$B$25,0)))/12</f>
        <v>4530.01027148578</v>
      </c>
      <c r="X175" s="40" t="n">
        <f aca="false">W175*12*$B$18/Assumptions!$C$18</f>
        <v>67950.1540722866</v>
      </c>
      <c r="Y175" s="40" t="n">
        <f aca="false">W175*12*$B$19/Assumptions!$C$18</f>
        <v>84937.6925903583</v>
      </c>
      <c r="Z175" s="40" t="n">
        <f aca="false">J175*(T175+Assumptions!$C$16)</f>
        <v>173710</v>
      </c>
      <c r="AA175" s="56" t="n">
        <f aca="false">IF(ISNUMBER(F175),F175,IF(H175&gt;=2000,4,3))</f>
        <v>3</v>
      </c>
      <c r="AB175" s="40" t="n">
        <f aca="false">IFERROR(INDEX($E$18:$H$25,MATCH(D175,$D$18:$D$25,0),1+IF(AA175&gt;=4,2,0)+IF(Q175="Y",1,0)),0)</f>
        <v>45000</v>
      </c>
      <c r="AC175" s="42" t="n">
        <f aca="false">IFERROR(AB175/X175,0)</f>
        <v>0.662250154019197</v>
      </c>
      <c r="AD175" s="57" t="str">
        <f aca="false">IF(ISNUMBER(SEARCH("Mobile",E175)),"EXCLUDED",IF(AB175&gt;=Y175,"PASS",IF(AB175&gt;=X175,"MARGINAL","FAIL")))</f>
        <v>FAIL</v>
      </c>
      <c r="AE175" s="35" t="s">
        <v>546</v>
      </c>
    </row>
    <row r="176" customFormat="false" ht="23.85" hidden="false" customHeight="false" outlineLevel="0" collapsed="false">
      <c r="A176" s="27" t="s">
        <v>838</v>
      </c>
      <c r="B176" s="27" t="s">
        <v>239</v>
      </c>
      <c r="C176" s="27" t="s">
        <v>18</v>
      </c>
      <c r="D176" s="27" t="s">
        <v>484</v>
      </c>
      <c r="E176" s="27" t="s">
        <v>506</v>
      </c>
      <c r="F176" s="27"/>
      <c r="G176" s="27" t="n">
        <v>3</v>
      </c>
      <c r="H176" s="52" t="n">
        <v>1826</v>
      </c>
      <c r="I176" s="13" t="n">
        <v>1979</v>
      </c>
      <c r="J176" s="19" t="n">
        <v>599900</v>
      </c>
      <c r="K176" s="13" t="n">
        <v>46</v>
      </c>
      <c r="L176" s="27" t="s">
        <v>839</v>
      </c>
      <c r="M176" s="19" t="n">
        <v>640000</v>
      </c>
      <c r="N176" s="19" t="n">
        <v>615936</v>
      </c>
      <c r="O176" s="27" t="s">
        <v>458</v>
      </c>
      <c r="P176" s="27" t="s">
        <v>154</v>
      </c>
      <c r="Q176" s="27" t="s">
        <v>154</v>
      </c>
      <c r="R176" s="27" t="s">
        <v>69</v>
      </c>
      <c r="S176" s="27" t="s">
        <v>520</v>
      </c>
      <c r="T176" s="28" t="n">
        <f aca="false">Assumptions!$C$15</f>
        <v>0.25</v>
      </c>
      <c r="U176" s="21" t="n">
        <f aca="false">J176*(1-T176)</f>
        <v>449925</v>
      </c>
      <c r="V176" s="29" t="n">
        <f aca="false">IF((1-T176)&gt;0.75,Assumptions!$C$11,IF((1-T176)&gt;0.7,Assumptions!$C$12,Assumptions!$C$13))</f>
        <v>0.0725</v>
      </c>
      <c r="W176" s="21" t="n">
        <f aca="false">PMT(V176/12,Assumptions!$C$14,-U176)+J176*INDEX(Assumptions!$C$28:$C$34,MATCH(C176,Assumptions!$B$28:$B$34,0))/12+(INDEX(Assumptions!$D$28:$D$34,MATCH(C176,Assumptions!$B$28:$B$34,0))+INDEX(Assumptions!$C$22:$C$25,MATCH(R176,Assumptions!$B$22:$B$25,0)))/12</f>
        <v>4535.81496137616</v>
      </c>
      <c r="X176" s="21" t="n">
        <f aca="false">W176*12*$B$18/Assumptions!$C$18</f>
        <v>68037.2244206423</v>
      </c>
      <c r="Y176" s="21" t="n">
        <f aca="false">W176*12*$B$19/Assumptions!$C$18</f>
        <v>85046.5305258029</v>
      </c>
      <c r="Z176" s="21" t="n">
        <f aca="false">J176*(T176+Assumptions!$C$16)</f>
        <v>173971</v>
      </c>
      <c r="AA176" s="53" t="n">
        <f aca="false">IF(ISNUMBER(F176),F176,IF(H176&gt;=2000,4,3))</f>
        <v>3</v>
      </c>
      <c r="AB176" s="21" t="n">
        <f aca="false">IFERROR(INDEX($E$18:$H$25,MATCH(D176,$D$18:$D$25,0),1+IF(AA176&gt;=4,2,0)+IF(Q176="Y",1,0)),0)</f>
        <v>45000</v>
      </c>
      <c r="AC176" s="30" t="n">
        <f aca="false">IFERROR(AB176/X176,0)</f>
        <v>0.661402642203422</v>
      </c>
      <c r="AD176" s="4" t="str">
        <f aca="false">IF(ISNUMBER(SEARCH("Mobile",E176)),"EXCLUDED",IF(AB176&gt;=Y176,"PASS",IF(AB176&gt;=X176,"MARGINAL","FAIL")))</f>
        <v>FAIL</v>
      </c>
      <c r="AE176" s="26" t="s">
        <v>546</v>
      </c>
    </row>
    <row r="177" customFormat="false" ht="15" hidden="false" customHeight="false" outlineLevel="0" collapsed="false">
      <c r="A177" s="36" t="s">
        <v>840</v>
      </c>
      <c r="B177" s="36" t="s">
        <v>164</v>
      </c>
      <c r="C177" s="36" t="s">
        <v>82</v>
      </c>
      <c r="D177" s="36" t="s">
        <v>481</v>
      </c>
      <c r="E177" s="36" t="s">
        <v>506</v>
      </c>
      <c r="F177" s="36" t="n">
        <v>3</v>
      </c>
      <c r="G177" s="36" t="n">
        <v>1.5</v>
      </c>
      <c r="H177" s="55" t="n">
        <v>1126</v>
      </c>
      <c r="I177" s="34" t="n">
        <v>1955</v>
      </c>
      <c r="J177" s="37" t="n">
        <v>525000</v>
      </c>
      <c r="K177" s="34" t="n">
        <v>187</v>
      </c>
      <c r="L177" s="36" t="s">
        <v>841</v>
      </c>
      <c r="M177" s="37" t="n">
        <v>258000</v>
      </c>
      <c r="N177" s="37" t="n">
        <v>583528</v>
      </c>
      <c r="O177" s="36" t="s">
        <v>463</v>
      </c>
      <c r="P177" s="36" t="s">
        <v>154</v>
      </c>
      <c r="Q177" s="36" t="s">
        <v>154</v>
      </c>
      <c r="R177" s="36" t="s">
        <v>71</v>
      </c>
      <c r="S177" s="36" t="s">
        <v>633</v>
      </c>
      <c r="T177" s="39" t="n">
        <f aca="false">Assumptions!$C$15</f>
        <v>0.25</v>
      </c>
      <c r="U177" s="40" t="n">
        <f aca="false">J177*(1-T177)</f>
        <v>393750</v>
      </c>
      <c r="V177" s="41" t="n">
        <f aca="false">IF((1-T177)&gt;0.75,Assumptions!$C$11,IF((1-T177)&gt;0.7,Assumptions!$C$12,Assumptions!$C$13))</f>
        <v>0.0725</v>
      </c>
      <c r="W177" s="40" t="n">
        <f aca="false">PMT(V177/12,Assumptions!$C$14,-U177)+J177*INDEX(Assumptions!$C$28:$C$34,MATCH(C177,Assumptions!$B$28:$B$34,0))/12+(INDEX(Assumptions!$D$28:$D$34,MATCH(C177,Assumptions!$B$28:$B$34,0))+INDEX(Assumptions!$C$22:$C$25,MATCH(R177,Assumptions!$B$22:$B$25,0)))/12</f>
        <v>4235.02743605459</v>
      </c>
      <c r="X177" s="40" t="n">
        <f aca="false">W177*12*$B$18/Assumptions!$C$18</f>
        <v>63525.4115408188</v>
      </c>
      <c r="Y177" s="40" t="n">
        <f aca="false">W177*12*$B$19/Assumptions!$C$18</f>
        <v>79406.7644260235</v>
      </c>
      <c r="Z177" s="40" t="n">
        <f aca="false">J177*(T177+Assumptions!$C$16)</f>
        <v>152250</v>
      </c>
      <c r="AA177" s="56" t="n">
        <f aca="false">IF(ISNUMBER(F177),F177,IF(H177&gt;=2000,4,3))</f>
        <v>3</v>
      </c>
      <c r="AB177" s="40" t="n">
        <f aca="false">IFERROR(INDEX($E$18:$H$25,MATCH(D177,$D$18:$D$25,0),1+IF(AA177&gt;=4,2,0)+IF(Q177="Y",1,0)),0)</f>
        <v>42000</v>
      </c>
      <c r="AC177" s="42" t="n">
        <f aca="false">IFERROR(AB177/X177,0)</f>
        <v>0.661152741576692</v>
      </c>
      <c r="AD177" s="57" t="str">
        <f aca="false">IF(ISNUMBER(SEARCH("Mobile",E177)),"EXCLUDED",IF(AB177&gt;=Y177,"PASS",IF(AB177&gt;=X177,"MARGINAL","FAIL")))</f>
        <v>FAIL</v>
      </c>
      <c r="AE177" s="35"/>
    </row>
    <row r="178" customFormat="false" ht="15" hidden="false" customHeight="false" outlineLevel="0" collapsed="false">
      <c r="A178" s="27" t="s">
        <v>842</v>
      </c>
      <c r="B178" s="27" t="s">
        <v>644</v>
      </c>
      <c r="C178" s="27" t="s">
        <v>80</v>
      </c>
      <c r="D178" s="27" t="s">
        <v>480</v>
      </c>
      <c r="E178" s="27" t="s">
        <v>506</v>
      </c>
      <c r="F178" s="27" t="n">
        <v>3</v>
      </c>
      <c r="G178" s="27" t="n">
        <v>2</v>
      </c>
      <c r="H178" s="52" t="n">
        <v>1950</v>
      </c>
      <c r="I178" s="13" t="n">
        <v>2021</v>
      </c>
      <c r="J178" s="19" t="n">
        <v>469999</v>
      </c>
      <c r="K178" s="13" t="n">
        <v>215</v>
      </c>
      <c r="L178" s="27" t="s">
        <v>843</v>
      </c>
      <c r="M178" s="19" t="n">
        <v>446848</v>
      </c>
      <c r="N178" s="19" t="n">
        <v>260189</v>
      </c>
      <c r="O178" s="27" t="s">
        <v>515</v>
      </c>
      <c r="P178" s="27" t="s">
        <v>154</v>
      </c>
      <c r="Q178" s="27" t="s">
        <v>154</v>
      </c>
      <c r="R178" s="27" t="s">
        <v>69</v>
      </c>
      <c r="S178" s="27" t="s">
        <v>597</v>
      </c>
      <c r="T178" s="28" t="n">
        <f aca="false">Assumptions!$C$15</f>
        <v>0.25</v>
      </c>
      <c r="U178" s="21" t="n">
        <f aca="false">J178*(1-T178)</f>
        <v>352499.25</v>
      </c>
      <c r="V178" s="29" t="n">
        <f aca="false">IF((1-T178)&gt;0.75,Assumptions!$C$11,IF((1-T178)&gt;0.7,Assumptions!$C$12,Assumptions!$C$13))</f>
        <v>0.0725</v>
      </c>
      <c r="W178" s="21" t="n">
        <f aca="false">PMT(V178/12,Assumptions!$C$14,-U178)+J178*INDEX(Assumptions!$C$28:$C$34,MATCH(C178,Assumptions!$B$28:$B$34,0))/12+(INDEX(Assumptions!$D$28:$D$34,MATCH(C178,Assumptions!$B$28:$B$34,0))+INDEX(Assumptions!$C$22:$C$25,MATCH(R178,Assumptions!$B$22:$B$25,0)))/12</f>
        <v>3658.83168754264</v>
      </c>
      <c r="X178" s="21" t="n">
        <f aca="false">W178*12*$B$18/Assumptions!$C$18</f>
        <v>54882.4753131396</v>
      </c>
      <c r="Y178" s="21" t="n">
        <f aca="false">W178*12*$B$19/Assumptions!$C$18</f>
        <v>68603.0941414245</v>
      </c>
      <c r="Z178" s="21" t="n">
        <f aca="false">J178*(T178+Assumptions!$C$16)</f>
        <v>136299.71</v>
      </c>
      <c r="AA178" s="53" t="n">
        <f aca="false">IF(ISNUMBER(F178),F178,IF(H178&gt;=2000,4,3))</f>
        <v>3</v>
      </c>
      <c r="AB178" s="21" t="n">
        <f aca="false">IFERROR(INDEX($E$18:$H$25,MATCH(D178,$D$18:$D$25,0),1+IF(AA178&gt;=4,2,0)+IF(Q178="Y",1,0)),0)</f>
        <v>36000</v>
      </c>
      <c r="AC178" s="30" t="n">
        <f aca="false">IFERROR(AB178/X178,0)</f>
        <v>0.655947090480103</v>
      </c>
      <c r="AD178" s="4" t="str">
        <f aca="false">IF(ISNUMBER(SEARCH("Mobile",E178)),"EXCLUDED",IF(AB178&gt;=Y178,"PASS",IF(AB178&gt;=X178,"MARGINAL","FAIL")))</f>
        <v>FAIL</v>
      </c>
      <c r="AE178" s="26"/>
    </row>
    <row r="179" customFormat="false" ht="15" hidden="false" customHeight="false" outlineLevel="0" collapsed="false">
      <c r="A179" s="36" t="s">
        <v>844</v>
      </c>
      <c r="B179" s="36" t="s">
        <v>826</v>
      </c>
      <c r="C179" s="36" t="s">
        <v>82</v>
      </c>
      <c r="D179" s="36" t="s">
        <v>482</v>
      </c>
      <c r="E179" s="36" t="s">
        <v>506</v>
      </c>
      <c r="F179" s="36" t="n">
        <v>3</v>
      </c>
      <c r="G179" s="36" t="n">
        <v>2</v>
      </c>
      <c r="H179" s="55" t="n">
        <v>1820</v>
      </c>
      <c r="I179" s="34" t="n">
        <v>1985</v>
      </c>
      <c r="J179" s="37" t="n">
        <v>449000</v>
      </c>
      <c r="K179" s="34" t="n">
        <v>41</v>
      </c>
      <c r="L179" s="36" t="s">
        <v>845</v>
      </c>
      <c r="M179" s="37" t="n">
        <v>320000</v>
      </c>
      <c r="N179" s="37" t="n">
        <v>248338</v>
      </c>
      <c r="O179" s="36" t="s">
        <v>448</v>
      </c>
      <c r="P179" s="36" t="s">
        <v>154</v>
      </c>
      <c r="Q179" s="36" t="s">
        <v>154</v>
      </c>
      <c r="R179" s="36" t="s">
        <v>69</v>
      </c>
      <c r="S179" s="36" t="s">
        <v>633</v>
      </c>
      <c r="T179" s="39" t="n">
        <f aca="false">Assumptions!$C$15</f>
        <v>0.25</v>
      </c>
      <c r="U179" s="40" t="n">
        <f aca="false">J179*(1-T179)</f>
        <v>336750</v>
      </c>
      <c r="V179" s="41" t="n">
        <f aca="false">IF((1-T179)&gt;0.75,Assumptions!$C$11,IF((1-T179)&gt;0.7,Assumptions!$C$12,Assumptions!$C$13))</f>
        <v>0.0725</v>
      </c>
      <c r="W179" s="40" t="n">
        <f aca="false">PMT(V179/12,Assumptions!$C$14,-U179)+J179*INDEX(Assumptions!$C$28:$C$34,MATCH(C179,Assumptions!$B$28:$B$34,0))/12+(INDEX(Assumptions!$D$28:$D$34,MATCH(C179,Assumptions!$B$28:$B$34,0))+INDEX(Assumptions!$C$22:$C$25,MATCH(R179,Assumptions!$B$22:$B$25,0)))/12</f>
        <v>3469.02028975589</v>
      </c>
      <c r="X179" s="40" t="n">
        <f aca="false">W179*12*$B$18/Assumptions!$C$18</f>
        <v>52035.3043463384</v>
      </c>
      <c r="Y179" s="40" t="n">
        <f aca="false">W179*12*$B$19/Assumptions!$C$18</f>
        <v>65044.130432923</v>
      </c>
      <c r="Z179" s="40" t="n">
        <f aca="false">J179*(T179+Assumptions!$C$16)</f>
        <v>130210</v>
      </c>
      <c r="AA179" s="56" t="n">
        <f aca="false">IF(ISNUMBER(F179),F179,IF(H179&gt;=2000,4,3))</f>
        <v>3</v>
      </c>
      <c r="AB179" s="40" t="n">
        <f aca="false">IFERROR(INDEX($E$18:$H$25,MATCH(D179,$D$18:$D$25,0),1+IF(AA179&gt;=4,2,0)+IF(Q179="Y",1,0)),0)</f>
        <v>34000</v>
      </c>
      <c r="AC179" s="42" t="n">
        <f aca="false">IFERROR(AB179/X179,0)</f>
        <v>0.653402539431721</v>
      </c>
      <c r="AD179" s="57" t="str">
        <f aca="false">IF(ISNUMBER(SEARCH("Mobile",E179)),"EXCLUDED",IF(AB179&gt;=Y179,"PASS",IF(AB179&gt;=X179,"MARGINAL","FAIL")))</f>
        <v>FAIL</v>
      </c>
      <c r="AE179" s="35"/>
    </row>
    <row r="180" customFormat="false" ht="15" hidden="false" customHeight="false" outlineLevel="0" collapsed="false">
      <c r="A180" s="27" t="s">
        <v>846</v>
      </c>
      <c r="B180" s="27" t="s">
        <v>826</v>
      </c>
      <c r="C180" s="27" t="s">
        <v>82</v>
      </c>
      <c r="D180" s="27" t="s">
        <v>482</v>
      </c>
      <c r="E180" s="27" t="s">
        <v>506</v>
      </c>
      <c r="F180" s="27" t="n">
        <v>3</v>
      </c>
      <c r="G180" s="27" t="n">
        <v>2</v>
      </c>
      <c r="H180" s="52" t="n">
        <v>1984</v>
      </c>
      <c r="I180" s="13" t="n">
        <v>2017</v>
      </c>
      <c r="J180" s="19" t="n">
        <v>449000</v>
      </c>
      <c r="K180" s="13" t="n">
        <v>160</v>
      </c>
      <c r="L180" s="27" t="s">
        <v>847</v>
      </c>
      <c r="M180" s="19" t="n">
        <v>323000</v>
      </c>
      <c r="N180" s="19" t="n">
        <v>447764</v>
      </c>
      <c r="O180" s="27" t="s">
        <v>463</v>
      </c>
      <c r="P180" s="27" t="s">
        <v>154</v>
      </c>
      <c r="Q180" s="27" t="s">
        <v>154</v>
      </c>
      <c r="R180" s="27" t="s">
        <v>69</v>
      </c>
      <c r="S180" s="27" t="s">
        <v>633</v>
      </c>
      <c r="T180" s="28" t="n">
        <f aca="false">Assumptions!$C$15</f>
        <v>0.25</v>
      </c>
      <c r="U180" s="21" t="n">
        <f aca="false">J180*(1-T180)</f>
        <v>336750</v>
      </c>
      <c r="V180" s="29" t="n">
        <f aca="false">IF((1-T180)&gt;0.75,Assumptions!$C$11,IF((1-T180)&gt;0.7,Assumptions!$C$12,Assumptions!$C$13))</f>
        <v>0.0725</v>
      </c>
      <c r="W180" s="21" t="n">
        <f aca="false">PMT(V180/12,Assumptions!$C$14,-U180)+J180*INDEX(Assumptions!$C$28:$C$34,MATCH(C180,Assumptions!$B$28:$B$34,0))/12+(INDEX(Assumptions!$D$28:$D$34,MATCH(C180,Assumptions!$B$28:$B$34,0))+INDEX(Assumptions!$C$22:$C$25,MATCH(R180,Assumptions!$B$22:$B$25,0)))/12</f>
        <v>3469.02028975589</v>
      </c>
      <c r="X180" s="21" t="n">
        <f aca="false">W180*12*$B$18/Assumptions!$C$18</f>
        <v>52035.3043463384</v>
      </c>
      <c r="Y180" s="21" t="n">
        <f aca="false">W180*12*$B$19/Assumptions!$C$18</f>
        <v>65044.130432923</v>
      </c>
      <c r="Z180" s="21" t="n">
        <f aca="false">J180*(T180+Assumptions!$C$16)</f>
        <v>130210</v>
      </c>
      <c r="AA180" s="53" t="n">
        <f aca="false">IF(ISNUMBER(F180),F180,IF(H180&gt;=2000,4,3))</f>
        <v>3</v>
      </c>
      <c r="AB180" s="21" t="n">
        <f aca="false">IFERROR(INDEX($E$18:$H$25,MATCH(D180,$D$18:$D$25,0),1+IF(AA180&gt;=4,2,0)+IF(Q180="Y",1,0)),0)</f>
        <v>34000</v>
      </c>
      <c r="AC180" s="30" t="n">
        <f aca="false">IFERROR(AB180/X180,0)</f>
        <v>0.653402539431721</v>
      </c>
      <c r="AD180" s="4" t="str">
        <f aca="false">IF(ISNUMBER(SEARCH("Mobile",E180)),"EXCLUDED",IF(AB180&gt;=Y180,"PASS",IF(AB180&gt;=X180,"MARGINAL","FAIL")))</f>
        <v>FAIL</v>
      </c>
      <c r="AE180" s="26"/>
    </row>
    <row r="181" customFormat="false" ht="15" hidden="false" customHeight="false" outlineLevel="0" collapsed="false">
      <c r="A181" s="36" t="s">
        <v>848</v>
      </c>
      <c r="B181" s="36" t="s">
        <v>195</v>
      </c>
      <c r="C181" s="36" t="s">
        <v>82</v>
      </c>
      <c r="D181" s="36" t="s">
        <v>482</v>
      </c>
      <c r="E181" s="36" t="s">
        <v>506</v>
      </c>
      <c r="F181" s="36" t="n">
        <v>3</v>
      </c>
      <c r="G181" s="36" t="n">
        <v>2</v>
      </c>
      <c r="H181" s="55" t="n">
        <v>1734</v>
      </c>
      <c r="I181" s="34" t="n">
        <v>2006</v>
      </c>
      <c r="J181" s="37" t="n">
        <v>449900</v>
      </c>
      <c r="K181" s="34" t="n">
        <v>59</v>
      </c>
      <c r="L181" s="36" t="s">
        <v>849</v>
      </c>
      <c r="M181" s="37" t="n">
        <v>495000</v>
      </c>
      <c r="N181" s="37" t="n">
        <v>34547</v>
      </c>
      <c r="O181" s="36" t="s">
        <v>448</v>
      </c>
      <c r="P181" s="36" t="s">
        <v>154</v>
      </c>
      <c r="Q181" s="36" t="s">
        <v>154</v>
      </c>
      <c r="R181" s="36" t="s">
        <v>69</v>
      </c>
      <c r="S181" s="36" t="s">
        <v>633</v>
      </c>
      <c r="T181" s="39" t="n">
        <f aca="false">Assumptions!$C$15</f>
        <v>0.25</v>
      </c>
      <c r="U181" s="40" t="n">
        <f aca="false">J181*(1-T181)</f>
        <v>337425</v>
      </c>
      <c r="V181" s="41" t="n">
        <f aca="false">IF((1-T181)&gt;0.75,Assumptions!$C$11,IF((1-T181)&gt;0.7,Assumptions!$C$12,Assumptions!$C$13))</f>
        <v>0.0725</v>
      </c>
      <c r="W181" s="40" t="n">
        <f aca="false">PMT(V181/12,Assumptions!$C$14,-U181)+J181*INDEX(Assumptions!$C$28:$C$34,MATCH(C181,Assumptions!$B$28:$B$34,0))/12+(INDEX(Assumptions!$D$28:$D$34,MATCH(C181,Assumptions!$B$28:$B$34,0))+INDEX(Assumptions!$C$22:$C$25,MATCH(R181,Assumptions!$B$22:$B$25,0)))/12</f>
        <v>3474.63747964627</v>
      </c>
      <c r="X181" s="40" t="n">
        <f aca="false">W181*12*$B$18/Assumptions!$C$18</f>
        <v>52119.5621946941</v>
      </c>
      <c r="Y181" s="40" t="n">
        <f aca="false">W181*12*$B$19/Assumptions!$C$18</f>
        <v>65149.4527433676</v>
      </c>
      <c r="Z181" s="40" t="n">
        <f aca="false">J181*(T181+Assumptions!$C$16)</f>
        <v>130471</v>
      </c>
      <c r="AA181" s="56" t="n">
        <f aca="false">IF(ISNUMBER(F181),F181,IF(H181&gt;=2000,4,3))</f>
        <v>3</v>
      </c>
      <c r="AB181" s="40" t="n">
        <f aca="false">IFERROR(INDEX($E$18:$H$25,MATCH(D181,$D$18:$D$25,0),1+IF(AA181&gt;=4,2,0)+IF(Q181="Y",1,0)),0)</f>
        <v>34000</v>
      </c>
      <c r="AC181" s="42" t="n">
        <f aca="false">IFERROR(AB181/X181,0)</f>
        <v>0.652346231785142</v>
      </c>
      <c r="AD181" s="57" t="str">
        <f aca="false">IF(ISNUMBER(SEARCH("Mobile",E181)),"EXCLUDED",IF(AB181&gt;=Y181,"PASS",IF(AB181&gt;=X181,"MARGINAL","FAIL")))</f>
        <v>FAIL</v>
      </c>
      <c r="AE181" s="35"/>
    </row>
    <row r="182" customFormat="false" ht="15" hidden="false" customHeight="false" outlineLevel="0" collapsed="false">
      <c r="A182" s="27" t="s">
        <v>850</v>
      </c>
      <c r="B182" s="27" t="s">
        <v>661</v>
      </c>
      <c r="C182" s="27" t="s">
        <v>82</v>
      </c>
      <c r="D182" s="27" t="s">
        <v>482</v>
      </c>
      <c r="E182" s="27" t="s">
        <v>506</v>
      </c>
      <c r="F182" s="27" t="n">
        <v>4</v>
      </c>
      <c r="G182" s="27" t="n">
        <v>3</v>
      </c>
      <c r="H182" s="52" t="n">
        <v>2307</v>
      </c>
      <c r="I182" s="13" t="n">
        <v>2018</v>
      </c>
      <c r="J182" s="19" t="n">
        <v>550000</v>
      </c>
      <c r="K182" s="13" t="n">
        <v>144</v>
      </c>
      <c r="L182" s="27" t="s">
        <v>841</v>
      </c>
      <c r="M182" s="19" t="n">
        <v>379990</v>
      </c>
      <c r="N182" s="19" t="n">
        <v>582197</v>
      </c>
      <c r="O182" s="27" t="s">
        <v>458</v>
      </c>
      <c r="P182" s="27" t="s">
        <v>154</v>
      </c>
      <c r="Q182" s="27" t="s">
        <v>154</v>
      </c>
      <c r="R182" s="27" t="s">
        <v>69</v>
      </c>
      <c r="S182" s="27" t="s">
        <v>516</v>
      </c>
      <c r="T182" s="28" t="n">
        <f aca="false">Assumptions!$C$15</f>
        <v>0.25</v>
      </c>
      <c r="U182" s="21" t="n">
        <f aca="false">J182*(1-T182)</f>
        <v>412500</v>
      </c>
      <c r="V182" s="29" t="n">
        <f aca="false">IF((1-T182)&gt;0.75,Assumptions!$C$11,IF((1-T182)&gt;0.7,Assumptions!$C$12,Assumptions!$C$13))</f>
        <v>0.0725</v>
      </c>
      <c r="W182" s="21" t="n">
        <f aca="false">PMT(V182/12,Assumptions!$C$14,-U182)+J182*INDEX(Assumptions!$C$28:$C$34,MATCH(C182,Assumptions!$B$28:$B$34,0))/12+(INDEX(Assumptions!$D$28:$D$34,MATCH(C182,Assumptions!$B$28:$B$34,0))+INDEX(Assumptions!$C$22:$C$25,MATCH(R182,Assumptions!$B$22:$B$25,0)))/12</f>
        <v>4099.39382189846</v>
      </c>
      <c r="X182" s="21" t="n">
        <f aca="false">W182*12*$B$18/Assumptions!$C$18</f>
        <v>61490.9073284769</v>
      </c>
      <c r="Y182" s="21" t="n">
        <f aca="false">W182*12*$B$19/Assumptions!$C$18</f>
        <v>76863.6341605961</v>
      </c>
      <c r="Z182" s="21" t="n">
        <f aca="false">J182*(T182+Assumptions!$C$16)</f>
        <v>159500</v>
      </c>
      <c r="AA182" s="53" t="n">
        <f aca="false">IF(ISNUMBER(F182),F182,IF(H182&gt;=2000,4,3))</f>
        <v>4</v>
      </c>
      <c r="AB182" s="21" t="n">
        <f aca="false">IFERROR(INDEX($E$18:$H$25,MATCH(D182,$D$18:$D$25,0),1+IF(AA182&gt;=4,2,0)+IF(Q182="Y",1,0)),0)</f>
        <v>40000</v>
      </c>
      <c r="AC182" s="30" t="n">
        <f aca="false">IFERROR(AB182/X182,0)</f>
        <v>0.650502679791744</v>
      </c>
      <c r="AD182" s="4" t="str">
        <f aca="false">IF(ISNUMBER(SEARCH("Mobile",E182)),"EXCLUDED",IF(AB182&gt;=Y182,"PASS",IF(AB182&gt;=X182,"MARGINAL","FAIL")))</f>
        <v>FAIL</v>
      </c>
      <c r="AE182" s="26"/>
    </row>
    <row r="183" customFormat="false" ht="15" hidden="false" customHeight="false" outlineLevel="0" collapsed="false">
      <c r="A183" s="36" t="s">
        <v>851</v>
      </c>
      <c r="B183" s="36" t="s">
        <v>676</v>
      </c>
      <c r="C183" s="36" t="s">
        <v>82</v>
      </c>
      <c r="D183" s="36" t="s">
        <v>482</v>
      </c>
      <c r="E183" s="36" t="s">
        <v>506</v>
      </c>
      <c r="F183" s="36" t="n">
        <v>3</v>
      </c>
      <c r="G183" s="36" t="n">
        <v>2</v>
      </c>
      <c r="H183" s="55" t="n">
        <v>1681</v>
      </c>
      <c r="I183" s="34" t="n">
        <v>2022</v>
      </c>
      <c r="J183" s="37" t="n">
        <v>439990</v>
      </c>
      <c r="K183" s="34" t="n">
        <v>33</v>
      </c>
      <c r="L183" s="36" t="s">
        <v>852</v>
      </c>
      <c r="M183" s="37" t="n">
        <v>430800</v>
      </c>
      <c r="N183" s="37" t="n">
        <v>404277</v>
      </c>
      <c r="O183" s="36" t="s">
        <v>458</v>
      </c>
      <c r="P183" s="36" t="s">
        <v>154</v>
      </c>
      <c r="Q183" s="36" t="s">
        <v>154</v>
      </c>
      <c r="R183" s="36" t="s">
        <v>75</v>
      </c>
      <c r="S183" s="36" t="s">
        <v>633</v>
      </c>
      <c r="T183" s="39" t="n">
        <f aca="false">Assumptions!$C$15</f>
        <v>0.25</v>
      </c>
      <c r="U183" s="40" t="n">
        <f aca="false">J183*(1-T183)</f>
        <v>329992.5</v>
      </c>
      <c r="V183" s="41" t="n">
        <f aca="false">IF((1-T183)&gt;0.75,Assumptions!$C$11,IF((1-T183)&gt;0.7,Assumptions!$C$12,Assumptions!$C$13))</f>
        <v>0.0725</v>
      </c>
      <c r="W183" s="40" t="n">
        <f aca="false">PMT(V183/12,Assumptions!$C$14,-U183)+J183*INDEX(Assumptions!$C$28:$C$34,MATCH(C183,Assumptions!$B$28:$B$34,0))/12+(INDEX(Assumptions!$D$28:$D$34,MATCH(C183,Assumptions!$B$28:$B$34,0))+INDEX(Assumptions!$C$22:$C$25,MATCH(R183,Assumptions!$B$22:$B$25,0)))/12</f>
        <v>3496.11931096443</v>
      </c>
      <c r="X183" s="40" t="n">
        <f aca="false">W183*12*$B$18/Assumptions!$C$18</f>
        <v>52441.7896644664</v>
      </c>
      <c r="Y183" s="40" t="n">
        <f aca="false">W183*12*$B$19/Assumptions!$C$18</f>
        <v>65552.237080583</v>
      </c>
      <c r="Z183" s="40" t="n">
        <f aca="false">J183*(T183+Assumptions!$C$16)</f>
        <v>127597.1</v>
      </c>
      <c r="AA183" s="56" t="n">
        <f aca="false">IF(ISNUMBER(F183),F183,IF(H183&gt;=2000,4,3))</f>
        <v>3</v>
      </c>
      <c r="AB183" s="40" t="n">
        <f aca="false">IFERROR(INDEX($E$18:$H$25,MATCH(D183,$D$18:$D$25,0),1+IF(AA183&gt;=4,2,0)+IF(Q183="Y",1,0)),0)</f>
        <v>34000</v>
      </c>
      <c r="AC183" s="42" t="n">
        <f aca="false">IFERROR(AB183/X183,0)</f>
        <v>0.648337904132165</v>
      </c>
      <c r="AD183" s="57" t="str">
        <f aca="false">IF(ISNUMBER(SEARCH("Mobile",E183)),"EXCLUDED",IF(AB183&gt;=Y183,"PASS",IF(AB183&gt;=X183,"MARGINAL","FAIL")))</f>
        <v>FAIL</v>
      </c>
      <c r="AE183" s="35"/>
    </row>
    <row r="184" customFormat="false" ht="15" hidden="false" customHeight="false" outlineLevel="0" collapsed="false">
      <c r="A184" s="27" t="s">
        <v>853</v>
      </c>
      <c r="B184" s="27" t="s">
        <v>644</v>
      </c>
      <c r="C184" s="27" t="s">
        <v>80</v>
      </c>
      <c r="D184" s="27" t="s">
        <v>480</v>
      </c>
      <c r="E184" s="27" t="s">
        <v>506</v>
      </c>
      <c r="F184" s="27" t="n">
        <v>4</v>
      </c>
      <c r="G184" s="27" t="n">
        <v>2</v>
      </c>
      <c r="H184" s="52" t="n">
        <v>2161</v>
      </c>
      <c r="I184" s="13" t="n">
        <v>2000</v>
      </c>
      <c r="J184" s="19" t="n">
        <v>575000</v>
      </c>
      <c r="K184" s="13" t="n">
        <v>4</v>
      </c>
      <c r="L184" s="27"/>
      <c r="M184" s="19"/>
      <c r="N184" s="19" t="n">
        <v>286605</v>
      </c>
      <c r="O184" s="27" t="s">
        <v>458</v>
      </c>
      <c r="P184" s="27" t="s">
        <v>154</v>
      </c>
      <c r="Q184" s="27" t="s">
        <v>154</v>
      </c>
      <c r="R184" s="27" t="s">
        <v>69</v>
      </c>
      <c r="S184" s="27" t="s">
        <v>597</v>
      </c>
      <c r="T184" s="28" t="n">
        <f aca="false">Assumptions!$C$15</f>
        <v>0.25</v>
      </c>
      <c r="U184" s="21" t="n">
        <f aca="false">J184*(1-T184)</f>
        <v>431250</v>
      </c>
      <c r="V184" s="29" t="n">
        <f aca="false">IF((1-T184)&gt;0.75,Assumptions!$C$11,IF((1-T184)&gt;0.7,Assumptions!$C$12,Assumptions!$C$13))</f>
        <v>0.0725</v>
      </c>
      <c r="W184" s="21" t="n">
        <f aca="false">PMT(V184/12,Assumptions!$C$14,-U184)+J184*INDEX(Assumptions!$C$28:$C$34,MATCH(C184,Assumptions!$B$28:$B$34,0))/12+(INDEX(Assumptions!$D$28:$D$34,MATCH(C184,Assumptions!$B$28:$B$34,0))+INDEX(Assumptions!$C$22:$C$25,MATCH(R184,Assumptions!$B$22:$B$25,0)))/12</f>
        <v>4327.30187440899</v>
      </c>
      <c r="X184" s="21" t="n">
        <f aca="false">W184*12*$B$18/Assumptions!$C$18</f>
        <v>64909.5281161349</v>
      </c>
      <c r="Y184" s="21" t="n">
        <f aca="false">W184*12*$B$19/Assumptions!$C$18</f>
        <v>81136.9101451686</v>
      </c>
      <c r="Z184" s="21" t="n">
        <f aca="false">J184*(T184+Assumptions!$C$16)</f>
        <v>166750</v>
      </c>
      <c r="AA184" s="53" t="n">
        <f aca="false">IF(ISNUMBER(F184),F184,IF(H184&gt;=2000,4,3))</f>
        <v>4</v>
      </c>
      <c r="AB184" s="21" t="n">
        <f aca="false">IFERROR(INDEX($E$18:$H$25,MATCH(D184,$D$18:$D$25,0),1+IF(AA184&gt;=4,2,0)+IF(Q184="Y",1,0)),0)</f>
        <v>42000</v>
      </c>
      <c r="AC184" s="30" t="n">
        <f aca="false">IFERROR(AB184/X184,0)</f>
        <v>0.647054465175812</v>
      </c>
      <c r="AD184" s="4" t="str">
        <f aca="false">IF(ISNUMBER(SEARCH("Mobile",E184)),"EXCLUDED",IF(AB184&gt;=Y184,"PASS",IF(AB184&gt;=X184,"MARGINAL","FAIL")))</f>
        <v>FAIL</v>
      </c>
      <c r="AE184" s="26"/>
    </row>
    <row r="185" customFormat="false" ht="15" hidden="false" customHeight="false" outlineLevel="0" collapsed="false">
      <c r="A185" s="36" t="s">
        <v>854</v>
      </c>
      <c r="B185" s="36" t="s">
        <v>676</v>
      </c>
      <c r="C185" s="36" t="s">
        <v>82</v>
      </c>
      <c r="D185" s="36" t="s">
        <v>482</v>
      </c>
      <c r="E185" s="36" t="s">
        <v>506</v>
      </c>
      <c r="F185" s="36" t="n">
        <v>3</v>
      </c>
      <c r="G185" s="36" t="n">
        <v>2</v>
      </c>
      <c r="H185" s="55" t="n">
        <v>1855</v>
      </c>
      <c r="I185" s="34" t="n">
        <v>2024</v>
      </c>
      <c r="J185" s="37" t="n">
        <v>444900</v>
      </c>
      <c r="K185" s="34" t="n">
        <v>327</v>
      </c>
      <c r="L185" s="36" t="s">
        <v>855</v>
      </c>
      <c r="M185" s="37" t="n">
        <v>554570</v>
      </c>
      <c r="N185" s="37" t="n">
        <v>450706</v>
      </c>
      <c r="O185" s="36" t="s">
        <v>515</v>
      </c>
      <c r="P185" s="36" t="s">
        <v>154</v>
      </c>
      <c r="Q185" s="36" t="s">
        <v>154</v>
      </c>
      <c r="R185" s="36" t="s">
        <v>75</v>
      </c>
      <c r="S185" s="36" t="s">
        <v>633</v>
      </c>
      <c r="T185" s="39" t="n">
        <f aca="false">Assumptions!$C$15</f>
        <v>0.25</v>
      </c>
      <c r="U185" s="40" t="n">
        <f aca="false">J185*(1-T185)</f>
        <v>333675</v>
      </c>
      <c r="V185" s="41" t="n">
        <f aca="false">IF((1-T185)&gt;0.75,Assumptions!$C$11,IF((1-T185)&gt;0.7,Assumptions!$C$12,Assumptions!$C$13))</f>
        <v>0.0725</v>
      </c>
      <c r="W185" s="40" t="n">
        <f aca="false">PMT(V185/12,Assumptions!$C$14,-U185)+J185*INDEX(Assumptions!$C$28:$C$34,MATCH(C185,Assumptions!$B$28:$B$34,0))/12+(INDEX(Assumptions!$D$28:$D$34,MATCH(C185,Assumptions!$B$28:$B$34,0))+INDEX(Assumptions!$C$22:$C$25,MATCH(R185,Assumptions!$B$22:$B$25,0)))/12</f>
        <v>3526.7642024775</v>
      </c>
      <c r="X185" s="40" t="n">
        <f aca="false">W185*12*$B$18/Assumptions!$C$18</f>
        <v>52901.4630371625</v>
      </c>
      <c r="Y185" s="40" t="n">
        <f aca="false">W185*12*$B$19/Assumptions!$C$18</f>
        <v>66126.8287964531</v>
      </c>
      <c r="Z185" s="40" t="n">
        <f aca="false">J185*(T185+Assumptions!$C$16)</f>
        <v>129021</v>
      </c>
      <c r="AA185" s="56" t="n">
        <f aca="false">IF(ISNUMBER(F185),F185,IF(H185&gt;=2000,4,3))</f>
        <v>3</v>
      </c>
      <c r="AB185" s="40" t="n">
        <f aca="false">IFERROR(INDEX($E$18:$H$25,MATCH(D185,$D$18:$D$25,0),1+IF(AA185&gt;=4,2,0)+IF(Q185="Y",1,0)),0)</f>
        <v>34000</v>
      </c>
      <c r="AC185" s="42" t="n">
        <f aca="false">IFERROR(AB185/X185,0)</f>
        <v>0.642704342148638</v>
      </c>
      <c r="AD185" s="57" t="str">
        <f aca="false">IF(ISNUMBER(SEARCH("Mobile",E185)),"EXCLUDED",IF(AB185&gt;=Y185,"PASS",IF(AB185&gt;=X185,"MARGINAL","FAIL")))</f>
        <v>FAIL</v>
      </c>
      <c r="AE185" s="35"/>
    </row>
    <row r="186" customFormat="false" ht="15" hidden="false" customHeight="false" outlineLevel="0" collapsed="false">
      <c r="A186" s="27" t="s">
        <v>856</v>
      </c>
      <c r="B186" s="27" t="s">
        <v>514</v>
      </c>
      <c r="C186" s="27" t="s">
        <v>82</v>
      </c>
      <c r="D186" s="27" t="s">
        <v>481</v>
      </c>
      <c r="E186" s="27" t="s">
        <v>506</v>
      </c>
      <c r="F186" s="27" t="n">
        <v>3</v>
      </c>
      <c r="G186" s="27" t="n">
        <v>2</v>
      </c>
      <c r="H186" s="52" t="n">
        <v>1210</v>
      </c>
      <c r="I186" s="13" t="n">
        <v>1983</v>
      </c>
      <c r="J186" s="19" t="n">
        <v>595000</v>
      </c>
      <c r="K186" s="13" t="n">
        <v>16</v>
      </c>
      <c r="L186" s="27" t="s">
        <v>857</v>
      </c>
      <c r="M186" s="19" t="n">
        <v>550000</v>
      </c>
      <c r="N186" s="19" t="n">
        <v>438368</v>
      </c>
      <c r="O186" s="27" t="s">
        <v>448</v>
      </c>
      <c r="P186" s="27" t="s">
        <v>154</v>
      </c>
      <c r="Q186" s="27" t="s">
        <v>154</v>
      </c>
      <c r="R186" s="27" t="s">
        <v>69</v>
      </c>
      <c r="S186" s="27" t="s">
        <v>516</v>
      </c>
      <c r="T186" s="28" t="n">
        <f aca="false">Assumptions!$C$15</f>
        <v>0.25</v>
      </c>
      <c r="U186" s="21" t="n">
        <f aca="false">J186*(1-T186)</f>
        <v>446250</v>
      </c>
      <c r="V186" s="29" t="n">
        <f aca="false">IF((1-T186)&gt;0.75,Assumptions!$C$11,IF((1-T186)&gt;0.7,Assumptions!$C$12,Assumptions!$C$13))</f>
        <v>0.0725</v>
      </c>
      <c r="W186" s="21" t="n">
        <f aca="false">PMT(V186/12,Assumptions!$C$14,-U186)+J186*INDEX(Assumptions!$C$28:$C$34,MATCH(C186,Assumptions!$B$28:$B$34,0))/12+(INDEX(Assumptions!$D$28:$D$34,MATCH(C186,Assumptions!$B$28:$B$34,0))+INDEX(Assumptions!$C$22:$C$25,MATCH(R186,Assumptions!$B$22:$B$25,0)))/12</f>
        <v>4380.25331641742</v>
      </c>
      <c r="X186" s="21" t="n">
        <f aca="false">W186*12*$B$18/Assumptions!$C$18</f>
        <v>65703.7997462613</v>
      </c>
      <c r="Y186" s="21" t="n">
        <f aca="false">W186*12*$B$19/Assumptions!$C$18</f>
        <v>82129.7496828267</v>
      </c>
      <c r="Z186" s="21" t="n">
        <f aca="false">J186*(T186+Assumptions!$C$16)</f>
        <v>172550</v>
      </c>
      <c r="AA186" s="53" t="n">
        <f aca="false">IF(ISNUMBER(F186),F186,IF(H186&gt;=2000,4,3))</f>
        <v>3</v>
      </c>
      <c r="AB186" s="21" t="n">
        <f aca="false">IFERROR(INDEX($E$18:$H$25,MATCH(D186,$D$18:$D$25,0),1+IF(AA186&gt;=4,2,0)+IF(Q186="Y",1,0)),0)</f>
        <v>42000</v>
      </c>
      <c r="AC186" s="30" t="n">
        <f aca="false">IFERROR(AB186/X186,0)</f>
        <v>0.639232436513535</v>
      </c>
      <c r="AD186" s="4" t="str">
        <f aca="false">IF(ISNUMBER(SEARCH("Mobile",E186)),"EXCLUDED",IF(AB186&gt;=Y186,"PASS",IF(AB186&gt;=X186,"MARGINAL","FAIL")))</f>
        <v>FAIL</v>
      </c>
      <c r="AE186" s="26"/>
    </row>
    <row r="187" customFormat="false" ht="15" hidden="false" customHeight="false" outlineLevel="0" collapsed="false">
      <c r="A187" s="36" t="s">
        <v>858</v>
      </c>
      <c r="B187" s="36" t="s">
        <v>676</v>
      </c>
      <c r="C187" s="36" t="s">
        <v>82</v>
      </c>
      <c r="D187" s="36" t="s">
        <v>482</v>
      </c>
      <c r="E187" s="36" t="s">
        <v>506</v>
      </c>
      <c r="F187" s="36" t="n">
        <v>3</v>
      </c>
      <c r="G187" s="36" t="n">
        <v>2</v>
      </c>
      <c r="H187" s="55" t="n">
        <v>1758</v>
      </c>
      <c r="I187" s="34" t="n">
        <v>2024</v>
      </c>
      <c r="J187" s="37" t="n">
        <v>450000</v>
      </c>
      <c r="K187" s="34" t="n">
        <v>91</v>
      </c>
      <c r="L187" s="36" t="s">
        <v>859</v>
      </c>
      <c r="M187" s="37" t="n">
        <v>405490</v>
      </c>
      <c r="N187" s="37" t="n">
        <v>436768</v>
      </c>
      <c r="O187" s="36" t="s">
        <v>463</v>
      </c>
      <c r="P187" s="36" t="s">
        <v>154</v>
      </c>
      <c r="Q187" s="36" t="s">
        <v>154</v>
      </c>
      <c r="R187" s="36" t="s">
        <v>75</v>
      </c>
      <c r="S187" s="36" t="s">
        <v>633</v>
      </c>
      <c r="T187" s="39" t="n">
        <f aca="false">Assumptions!$C$15</f>
        <v>0.25</v>
      </c>
      <c r="U187" s="40" t="n">
        <f aca="false">J187*(1-T187)</f>
        <v>337500</v>
      </c>
      <c r="V187" s="41" t="n">
        <f aca="false">IF((1-T187)&gt;0.75,Assumptions!$C$11,IF((1-T187)&gt;0.7,Assumptions!$C$12,Assumptions!$C$13))</f>
        <v>0.0725</v>
      </c>
      <c r="W187" s="40" t="n">
        <f aca="false">PMT(V187/12,Assumptions!$C$14,-U187)+J187*INDEX(Assumptions!$C$28:$C$34,MATCH(C187,Assumptions!$B$28:$B$34,0))/12+(INDEX(Assumptions!$D$28:$D$34,MATCH(C187,Assumptions!$B$28:$B$34,0))+INDEX(Assumptions!$C$22:$C$25,MATCH(R187,Assumptions!$B$22:$B$25,0)))/12</f>
        <v>3558.59494518965</v>
      </c>
      <c r="X187" s="40" t="n">
        <f aca="false">W187*12*$B$18/Assumptions!$C$18</f>
        <v>53378.9241778447</v>
      </c>
      <c r="Y187" s="40" t="n">
        <f aca="false">W187*12*$B$19/Assumptions!$C$18</f>
        <v>66723.6552223059</v>
      </c>
      <c r="Z187" s="40" t="n">
        <f aca="false">J187*(T187+Assumptions!$C$16)</f>
        <v>130500</v>
      </c>
      <c r="AA187" s="56" t="n">
        <f aca="false">IF(ISNUMBER(F187),F187,IF(H187&gt;=2000,4,3))</f>
        <v>3</v>
      </c>
      <c r="AB187" s="40" t="n">
        <f aca="false">IFERROR(INDEX($E$18:$H$25,MATCH(D187,$D$18:$D$25,0),1+IF(AA187&gt;=4,2,0)+IF(Q187="Y",1,0)),0)</f>
        <v>34000</v>
      </c>
      <c r="AC187" s="42" t="n">
        <f aca="false">IFERROR(AB187/X187,0)</f>
        <v>0.636955512380145</v>
      </c>
      <c r="AD187" s="57" t="str">
        <f aca="false">IF(ISNUMBER(SEARCH("Mobile",E187)),"EXCLUDED",IF(AB187&gt;=Y187,"PASS",IF(AB187&gt;=X187,"MARGINAL","FAIL")))</f>
        <v>FAIL</v>
      </c>
      <c r="AE187" s="35"/>
    </row>
    <row r="188" customFormat="false" ht="15" hidden="false" customHeight="false" outlineLevel="0" collapsed="false">
      <c r="A188" s="27" t="s">
        <v>860</v>
      </c>
      <c r="B188" s="27" t="s">
        <v>164</v>
      </c>
      <c r="C188" s="27" t="s">
        <v>82</v>
      </c>
      <c r="D188" s="27" t="s">
        <v>481</v>
      </c>
      <c r="E188" s="27" t="s">
        <v>506</v>
      </c>
      <c r="F188" s="27" t="n">
        <v>3</v>
      </c>
      <c r="G188" s="27" t="n">
        <v>1</v>
      </c>
      <c r="H188" s="52" t="n">
        <v>1106</v>
      </c>
      <c r="I188" s="13" t="n">
        <v>1955</v>
      </c>
      <c r="J188" s="19" t="n">
        <v>600000</v>
      </c>
      <c r="K188" s="13" t="n">
        <v>10</v>
      </c>
      <c r="L188" s="27" t="s">
        <v>861</v>
      </c>
      <c r="M188" s="19" t="n">
        <v>85000</v>
      </c>
      <c r="N188" s="19" t="n">
        <v>539096</v>
      </c>
      <c r="O188" s="27" t="s">
        <v>463</v>
      </c>
      <c r="P188" s="27" t="s">
        <v>154</v>
      </c>
      <c r="Q188" s="27" t="s">
        <v>154</v>
      </c>
      <c r="R188" s="27" t="s">
        <v>69</v>
      </c>
      <c r="S188" s="27" t="s">
        <v>633</v>
      </c>
      <c r="T188" s="28" t="n">
        <f aca="false">Assumptions!$C$15</f>
        <v>0.25</v>
      </c>
      <c r="U188" s="21" t="n">
        <f aca="false">J188*(1-T188)</f>
        <v>450000</v>
      </c>
      <c r="V188" s="29" t="n">
        <f aca="false">IF((1-T188)&gt;0.75,Assumptions!$C$11,IF((1-T188)&gt;0.7,Assumptions!$C$12,Assumptions!$C$13))</f>
        <v>0.0725</v>
      </c>
      <c r="W188" s="21" t="n">
        <f aca="false">PMT(V188/12,Assumptions!$C$14,-U188)+J188*INDEX(Assumptions!$C$28:$C$34,MATCH(C188,Assumptions!$B$28:$B$34,0))/12+(INDEX(Assumptions!$D$28:$D$34,MATCH(C188,Assumptions!$B$28:$B$34,0))+INDEX(Assumptions!$C$22:$C$25,MATCH(R188,Assumptions!$B$22:$B$25,0)))/12</f>
        <v>4411.45992691953</v>
      </c>
      <c r="X188" s="21" t="n">
        <f aca="false">W188*12*$B$18/Assumptions!$C$18</f>
        <v>66171.8989037929</v>
      </c>
      <c r="Y188" s="21" t="n">
        <f aca="false">W188*12*$B$19/Assumptions!$C$18</f>
        <v>82714.8736297412</v>
      </c>
      <c r="Z188" s="21" t="n">
        <f aca="false">J188*(T188+Assumptions!$C$16)</f>
        <v>174000</v>
      </c>
      <c r="AA188" s="53" t="n">
        <f aca="false">IF(ISNUMBER(F188),F188,IF(H188&gt;=2000,4,3))</f>
        <v>3</v>
      </c>
      <c r="AB188" s="21" t="n">
        <f aca="false">IFERROR(INDEX($E$18:$H$25,MATCH(D188,$D$18:$D$25,0),1+IF(AA188&gt;=4,2,0)+IF(Q188="Y",1,0)),0)</f>
        <v>42000</v>
      </c>
      <c r="AC188" s="30" t="n">
        <f aca="false">IFERROR(AB188/X188,0)</f>
        <v>0.634710514520123</v>
      </c>
      <c r="AD188" s="4" t="str">
        <f aca="false">IF(ISNUMBER(SEARCH("Mobile",E188)),"EXCLUDED",IF(AB188&gt;=Y188,"PASS",IF(AB188&gt;=X188,"MARGINAL","FAIL")))</f>
        <v>FAIL</v>
      </c>
      <c r="AE188" s="26"/>
    </row>
    <row r="189" customFormat="false" ht="15" hidden="false" customHeight="false" outlineLevel="0" collapsed="false">
      <c r="A189" s="36" t="s">
        <v>862</v>
      </c>
      <c r="B189" s="36" t="s">
        <v>813</v>
      </c>
      <c r="C189" s="36" t="s">
        <v>82</v>
      </c>
      <c r="D189" s="36" t="s">
        <v>482</v>
      </c>
      <c r="E189" s="36" t="s">
        <v>506</v>
      </c>
      <c r="F189" s="36" t="n">
        <v>3</v>
      </c>
      <c r="G189" s="36" t="n">
        <v>3</v>
      </c>
      <c r="H189" s="55" t="n">
        <v>2278</v>
      </c>
      <c r="I189" s="34" t="n">
        <v>1979</v>
      </c>
      <c r="J189" s="37" t="n">
        <v>466000</v>
      </c>
      <c r="K189" s="34" t="n">
        <v>48</v>
      </c>
      <c r="L189" s="36" t="s">
        <v>863</v>
      </c>
      <c r="M189" s="37" t="n">
        <v>211000</v>
      </c>
      <c r="N189" s="37" t="n">
        <v>506261</v>
      </c>
      <c r="O189" s="36" t="s">
        <v>453</v>
      </c>
      <c r="P189" s="36" t="s">
        <v>154</v>
      </c>
      <c r="Q189" s="36" t="s">
        <v>154</v>
      </c>
      <c r="R189" s="36" t="s">
        <v>69</v>
      </c>
      <c r="S189" s="36" t="s">
        <v>633</v>
      </c>
      <c r="T189" s="39" t="n">
        <f aca="false">Assumptions!$C$15</f>
        <v>0.25</v>
      </c>
      <c r="U189" s="40" t="n">
        <f aca="false">J189*(1-T189)</f>
        <v>349500</v>
      </c>
      <c r="V189" s="41" t="n">
        <f aca="false">IF((1-T189)&gt;0.75,Assumptions!$C$11,IF((1-T189)&gt;0.7,Assumptions!$C$12,Assumptions!$C$13))</f>
        <v>0.0725</v>
      </c>
      <c r="W189" s="40" t="n">
        <f aca="false">PMT(V189/12,Assumptions!$C$14,-U189)+J189*INDEX(Assumptions!$C$28:$C$34,MATCH(C189,Assumptions!$B$28:$B$34,0))/12+(INDEX(Assumptions!$D$28:$D$34,MATCH(C189,Assumptions!$B$28:$B$34,0))+INDEX(Assumptions!$C$22:$C$25,MATCH(R189,Assumptions!$B$22:$B$25,0)))/12</f>
        <v>3575.12276546306</v>
      </c>
      <c r="X189" s="40" t="n">
        <f aca="false">W189*12*$B$18/Assumptions!$C$18</f>
        <v>53626.8414819459</v>
      </c>
      <c r="Y189" s="40" t="n">
        <f aca="false">W189*12*$B$19/Assumptions!$C$18</f>
        <v>67033.5518524323</v>
      </c>
      <c r="Z189" s="40" t="n">
        <f aca="false">J189*(T189+Assumptions!$C$16)</f>
        <v>135140</v>
      </c>
      <c r="AA189" s="56" t="n">
        <f aca="false">IF(ISNUMBER(F189),F189,IF(H189&gt;=2000,4,3))</f>
        <v>3</v>
      </c>
      <c r="AB189" s="40" t="n">
        <f aca="false">IFERROR(INDEX($E$18:$H$25,MATCH(D189,$D$18:$D$25,0),1+IF(AA189&gt;=4,2,0)+IF(Q189="Y",1,0)),0)</f>
        <v>34000</v>
      </c>
      <c r="AC189" s="42" t="n">
        <f aca="false">IFERROR(AB189/X189,0)</f>
        <v>0.634010862106181</v>
      </c>
      <c r="AD189" s="57" t="str">
        <f aca="false">IF(ISNUMBER(SEARCH("Mobile",E189)),"EXCLUDED",IF(AB189&gt;=Y189,"PASS",IF(AB189&gt;=X189,"MARGINAL","FAIL")))</f>
        <v>FAIL</v>
      </c>
      <c r="AE189" s="35"/>
    </row>
    <row r="190" customFormat="false" ht="15" hidden="false" customHeight="false" outlineLevel="0" collapsed="false">
      <c r="A190" s="27" t="s">
        <v>864</v>
      </c>
      <c r="B190" s="27" t="s">
        <v>661</v>
      </c>
      <c r="C190" s="27" t="s">
        <v>82</v>
      </c>
      <c r="D190" s="27" t="s">
        <v>482</v>
      </c>
      <c r="E190" s="27" t="s">
        <v>506</v>
      </c>
      <c r="F190" s="27" t="n">
        <v>3</v>
      </c>
      <c r="G190" s="27" t="n">
        <v>2.5</v>
      </c>
      <c r="H190" s="52" t="n">
        <v>1962</v>
      </c>
      <c r="I190" s="13" t="n">
        <v>2017</v>
      </c>
      <c r="J190" s="19" t="n">
        <v>474900</v>
      </c>
      <c r="K190" s="13" t="n">
        <v>180</v>
      </c>
      <c r="L190" s="27" t="s">
        <v>865</v>
      </c>
      <c r="M190" s="19" t="n">
        <v>314700</v>
      </c>
      <c r="N190" s="19" t="n">
        <v>287290</v>
      </c>
      <c r="O190" s="27" t="s">
        <v>515</v>
      </c>
      <c r="P190" s="27" t="s">
        <v>154</v>
      </c>
      <c r="Q190" s="27" t="s">
        <v>154</v>
      </c>
      <c r="R190" s="27" t="s">
        <v>69</v>
      </c>
      <c r="S190" s="27" t="s">
        <v>516</v>
      </c>
      <c r="T190" s="28" t="n">
        <f aca="false">Assumptions!$C$15</f>
        <v>0.25</v>
      </c>
      <c r="U190" s="21" t="n">
        <f aca="false">J190*(1-T190)</f>
        <v>356175</v>
      </c>
      <c r="V190" s="29" t="n">
        <f aca="false">IF((1-T190)&gt;0.75,Assumptions!$C$11,IF((1-T190)&gt;0.7,Assumptions!$C$12,Assumptions!$C$13))</f>
        <v>0.0725</v>
      </c>
      <c r="W190" s="21" t="n">
        <f aca="false">PMT(V190/12,Assumptions!$C$14,-U190)+J190*INDEX(Assumptions!$C$28:$C$34,MATCH(C190,Assumptions!$B$28:$B$34,0))/12+(INDEX(Assumptions!$D$28:$D$34,MATCH(C190,Assumptions!$B$28:$B$34,0))+INDEX(Assumptions!$C$22:$C$25,MATCH(R190,Assumptions!$B$22:$B$25,0)))/12</f>
        <v>3630.67053215681</v>
      </c>
      <c r="X190" s="21" t="n">
        <f aca="false">W190*12*$B$18/Assumptions!$C$18</f>
        <v>54460.0579823521</v>
      </c>
      <c r="Y190" s="21" t="n">
        <f aca="false">W190*12*$B$19/Assumptions!$C$18</f>
        <v>68075.0724779402</v>
      </c>
      <c r="Z190" s="21" t="n">
        <f aca="false">J190*(T190+Assumptions!$C$16)</f>
        <v>137721</v>
      </c>
      <c r="AA190" s="53" t="n">
        <f aca="false">IF(ISNUMBER(F190),F190,IF(H190&gt;=2000,4,3))</f>
        <v>3</v>
      </c>
      <c r="AB190" s="21" t="n">
        <f aca="false">IFERROR(INDEX($E$18:$H$25,MATCH(D190,$D$18:$D$25,0),1+IF(AA190&gt;=4,2,0)+IF(Q190="Y",1,0)),0)</f>
        <v>34000</v>
      </c>
      <c r="AC190" s="30" t="n">
        <f aca="false">IFERROR(AB190/X190,0)</f>
        <v>0.624310756536796</v>
      </c>
      <c r="AD190" s="4" t="str">
        <f aca="false">IF(ISNUMBER(SEARCH("Mobile",E190)),"EXCLUDED",IF(AB190&gt;=Y190,"PASS",IF(AB190&gt;=X190,"MARGINAL","FAIL")))</f>
        <v>FAIL</v>
      </c>
      <c r="AE190" s="26"/>
    </row>
    <row r="191" customFormat="false" ht="15" hidden="false" customHeight="false" outlineLevel="0" collapsed="false">
      <c r="A191" s="36" t="s">
        <v>866</v>
      </c>
      <c r="B191" s="36" t="s">
        <v>231</v>
      </c>
      <c r="C191" s="36" t="s">
        <v>82</v>
      </c>
      <c r="D191" s="36" t="s">
        <v>482</v>
      </c>
      <c r="E191" s="36" t="s">
        <v>506</v>
      </c>
      <c r="F191" s="36" t="n">
        <v>3</v>
      </c>
      <c r="G191" s="36" t="n">
        <v>2</v>
      </c>
      <c r="H191" s="55" t="n">
        <v>1470</v>
      </c>
      <c r="I191" s="34" t="n">
        <v>1967</v>
      </c>
      <c r="J191" s="37" t="n">
        <v>475000</v>
      </c>
      <c r="K191" s="34" t="n">
        <v>16</v>
      </c>
      <c r="L191" s="36" t="s">
        <v>867</v>
      </c>
      <c r="M191" s="37" t="n">
        <v>285000</v>
      </c>
      <c r="N191" s="37" t="n">
        <v>380160</v>
      </c>
      <c r="O191" s="36" t="s">
        <v>458</v>
      </c>
      <c r="P191" s="36" t="s">
        <v>154</v>
      </c>
      <c r="Q191" s="36" t="s">
        <v>154</v>
      </c>
      <c r="R191" s="36" t="s">
        <v>69</v>
      </c>
      <c r="S191" s="36" t="s">
        <v>633</v>
      </c>
      <c r="T191" s="39" t="n">
        <f aca="false">Assumptions!$C$15</f>
        <v>0.25</v>
      </c>
      <c r="U191" s="40" t="n">
        <f aca="false">J191*(1-T191)</f>
        <v>356250</v>
      </c>
      <c r="V191" s="41" t="n">
        <f aca="false">IF((1-T191)&gt;0.75,Assumptions!$C$11,IF((1-T191)&gt;0.7,Assumptions!$C$12,Assumptions!$C$13))</f>
        <v>0.0725</v>
      </c>
      <c r="W191" s="40" t="n">
        <f aca="false">PMT(V191/12,Assumptions!$C$14,-U191)+J191*INDEX(Assumptions!$C$28:$C$34,MATCH(C191,Assumptions!$B$28:$B$34,0))/12+(INDEX(Assumptions!$D$28:$D$34,MATCH(C191,Assumptions!$B$28:$B$34,0))+INDEX(Assumptions!$C$22:$C$25,MATCH(R191,Assumptions!$B$22:$B$25,0)))/12</f>
        <v>3631.29466436685</v>
      </c>
      <c r="X191" s="40" t="n">
        <f aca="false">W191*12*$B$18/Assumptions!$C$18</f>
        <v>54469.4199655028</v>
      </c>
      <c r="Y191" s="40" t="n">
        <f aca="false">W191*12*$B$19/Assumptions!$C$18</f>
        <v>68086.7749568784</v>
      </c>
      <c r="Z191" s="40" t="n">
        <f aca="false">J191*(T191+Assumptions!$C$16)</f>
        <v>137750</v>
      </c>
      <c r="AA191" s="56" t="n">
        <f aca="false">IF(ISNUMBER(F191),F191,IF(H191&gt;=2000,4,3))</f>
        <v>3</v>
      </c>
      <c r="AB191" s="40" t="n">
        <f aca="false">IFERROR(INDEX($E$18:$H$25,MATCH(D191,$D$18:$D$25,0),1+IF(AA191&gt;=4,2,0)+IF(Q191="Y",1,0)),0)</f>
        <v>34000</v>
      </c>
      <c r="AC191" s="42" t="n">
        <f aca="false">IFERROR(AB191/X191,0)</f>
        <v>0.624203452534161</v>
      </c>
      <c r="AD191" s="57" t="str">
        <f aca="false">IF(ISNUMBER(SEARCH("Mobile",E191)),"EXCLUDED",IF(AB191&gt;=Y191,"PASS",IF(AB191&gt;=X191,"MARGINAL","FAIL")))</f>
        <v>FAIL</v>
      </c>
      <c r="AE191" s="35"/>
    </row>
    <row r="192" customFormat="false" ht="15" hidden="false" customHeight="false" outlineLevel="0" collapsed="false">
      <c r="A192" s="27" t="s">
        <v>868</v>
      </c>
      <c r="B192" s="27" t="s">
        <v>661</v>
      </c>
      <c r="C192" s="27" t="s">
        <v>82</v>
      </c>
      <c r="D192" s="27" t="s">
        <v>482</v>
      </c>
      <c r="E192" s="27" t="s">
        <v>506</v>
      </c>
      <c r="F192" s="27" t="n">
        <v>3</v>
      </c>
      <c r="G192" s="27" t="n">
        <v>2</v>
      </c>
      <c r="H192" s="52" t="n">
        <v>1502</v>
      </c>
      <c r="I192" s="13" t="n">
        <v>1999</v>
      </c>
      <c r="J192" s="19" t="n">
        <v>475000</v>
      </c>
      <c r="K192" s="13" t="n">
        <v>17</v>
      </c>
      <c r="L192" s="27" t="s">
        <v>869</v>
      </c>
      <c r="M192" s="19" t="n">
        <v>115200</v>
      </c>
      <c r="N192" s="19" t="n">
        <v>376707</v>
      </c>
      <c r="O192" s="27" t="s">
        <v>458</v>
      </c>
      <c r="P192" s="27" t="s">
        <v>154</v>
      </c>
      <c r="Q192" s="27" t="s">
        <v>154</v>
      </c>
      <c r="R192" s="27" t="s">
        <v>69</v>
      </c>
      <c r="S192" s="27" t="s">
        <v>516</v>
      </c>
      <c r="T192" s="28" t="n">
        <f aca="false">Assumptions!$C$15</f>
        <v>0.25</v>
      </c>
      <c r="U192" s="21" t="n">
        <f aca="false">J192*(1-T192)</f>
        <v>356250</v>
      </c>
      <c r="V192" s="29" t="n">
        <f aca="false">IF((1-T192)&gt;0.75,Assumptions!$C$11,IF((1-T192)&gt;0.7,Assumptions!$C$12,Assumptions!$C$13))</f>
        <v>0.0725</v>
      </c>
      <c r="W192" s="21" t="n">
        <f aca="false">PMT(V192/12,Assumptions!$C$14,-U192)+J192*INDEX(Assumptions!$C$28:$C$34,MATCH(C192,Assumptions!$B$28:$B$34,0))/12+(INDEX(Assumptions!$D$28:$D$34,MATCH(C192,Assumptions!$B$28:$B$34,0))+INDEX(Assumptions!$C$22:$C$25,MATCH(R192,Assumptions!$B$22:$B$25,0)))/12</f>
        <v>3631.29466436685</v>
      </c>
      <c r="X192" s="21" t="n">
        <f aca="false">W192*12*$B$18/Assumptions!$C$18</f>
        <v>54469.4199655028</v>
      </c>
      <c r="Y192" s="21" t="n">
        <f aca="false">W192*12*$B$19/Assumptions!$C$18</f>
        <v>68086.7749568784</v>
      </c>
      <c r="Z192" s="21" t="n">
        <f aca="false">J192*(T192+Assumptions!$C$16)</f>
        <v>137750</v>
      </c>
      <c r="AA192" s="53" t="n">
        <f aca="false">IF(ISNUMBER(F192),F192,IF(H192&gt;=2000,4,3))</f>
        <v>3</v>
      </c>
      <c r="AB192" s="21" t="n">
        <f aca="false">IFERROR(INDEX($E$18:$H$25,MATCH(D192,$D$18:$D$25,0),1+IF(AA192&gt;=4,2,0)+IF(Q192="Y",1,0)),0)</f>
        <v>34000</v>
      </c>
      <c r="AC192" s="30" t="n">
        <f aca="false">IFERROR(AB192/X192,0)</f>
        <v>0.624203452534161</v>
      </c>
      <c r="AD192" s="4" t="str">
        <f aca="false">IF(ISNUMBER(SEARCH("Mobile",E192)),"EXCLUDED",IF(AB192&gt;=Y192,"PASS",IF(AB192&gt;=X192,"MARGINAL","FAIL")))</f>
        <v>FAIL</v>
      </c>
      <c r="AE192" s="26"/>
    </row>
    <row r="193" customFormat="false" ht="15" hidden="false" customHeight="false" outlineLevel="0" collapsed="false">
      <c r="A193" s="36" t="s">
        <v>870</v>
      </c>
      <c r="B193" s="36" t="s">
        <v>676</v>
      </c>
      <c r="C193" s="36" t="s">
        <v>82</v>
      </c>
      <c r="D193" s="36" t="s">
        <v>482</v>
      </c>
      <c r="E193" s="36" t="s">
        <v>506</v>
      </c>
      <c r="F193" s="36" t="n">
        <v>3</v>
      </c>
      <c r="G193" s="36" t="n">
        <v>2</v>
      </c>
      <c r="H193" s="55" t="n">
        <v>1936</v>
      </c>
      <c r="I193" s="34" t="n">
        <v>2023</v>
      </c>
      <c r="J193" s="37" t="n">
        <v>465000</v>
      </c>
      <c r="K193" s="34" t="n">
        <v>45</v>
      </c>
      <c r="L193" s="36" t="s">
        <v>871</v>
      </c>
      <c r="M193" s="37" t="n">
        <v>562750</v>
      </c>
      <c r="N193" s="37" t="n">
        <v>-9528</v>
      </c>
      <c r="O193" s="36" t="s">
        <v>448</v>
      </c>
      <c r="P193" s="36" t="s">
        <v>154</v>
      </c>
      <c r="Q193" s="36" t="s">
        <v>154</v>
      </c>
      <c r="R193" s="36" t="s">
        <v>75</v>
      </c>
      <c r="S193" s="36" t="s">
        <v>633</v>
      </c>
      <c r="T193" s="39" t="n">
        <f aca="false">Assumptions!$C$15</f>
        <v>0.25</v>
      </c>
      <c r="U193" s="40" t="n">
        <f aca="false">J193*(1-T193)</f>
        <v>348750</v>
      </c>
      <c r="V193" s="41" t="n">
        <f aca="false">IF((1-T193)&gt;0.75,Assumptions!$C$11,IF((1-T193)&gt;0.7,Assumptions!$C$12,Assumptions!$C$13))</f>
        <v>0.0725</v>
      </c>
      <c r="W193" s="40" t="n">
        <f aca="false">PMT(V193/12,Assumptions!$C$14,-U193)+J193*INDEX(Assumptions!$C$28:$C$34,MATCH(C193,Assumptions!$B$28:$B$34,0))/12+(INDEX(Assumptions!$D$28:$D$34,MATCH(C193,Assumptions!$B$28:$B$34,0))+INDEX(Assumptions!$C$22:$C$25,MATCH(R193,Assumptions!$B$22:$B$25,0)))/12</f>
        <v>3652.21477669597</v>
      </c>
      <c r="X193" s="40" t="n">
        <f aca="false">W193*12*$B$18/Assumptions!$C$18</f>
        <v>54783.2216504395</v>
      </c>
      <c r="Y193" s="40" t="n">
        <f aca="false">W193*12*$B$19/Assumptions!$C$18</f>
        <v>68479.0270630494</v>
      </c>
      <c r="Z193" s="40" t="n">
        <f aca="false">J193*(T193+Assumptions!$C$16)</f>
        <v>134850</v>
      </c>
      <c r="AA193" s="56" t="n">
        <f aca="false">IF(ISNUMBER(F193),F193,IF(H193&gt;=2000,4,3))</f>
        <v>3</v>
      </c>
      <c r="AB193" s="40" t="n">
        <f aca="false">IFERROR(INDEX($E$18:$H$25,MATCH(D193,$D$18:$D$25,0),1+IF(AA193&gt;=4,2,0)+IF(Q193="Y",1,0)),0)</f>
        <v>34000</v>
      </c>
      <c r="AC193" s="42" t="n">
        <f aca="false">IFERROR(AB193/X193,0)</f>
        <v>0.620627976517099</v>
      </c>
      <c r="AD193" s="57" t="str">
        <f aca="false">IF(ISNUMBER(SEARCH("Mobile",E193)),"EXCLUDED",IF(AB193&gt;=Y193,"PASS",IF(AB193&gt;=X193,"MARGINAL","FAIL")))</f>
        <v>FAIL</v>
      </c>
      <c r="AE193" s="35"/>
    </row>
    <row r="194" customFormat="false" ht="15" hidden="false" customHeight="false" outlineLevel="0" collapsed="false">
      <c r="A194" s="27" t="s">
        <v>872</v>
      </c>
      <c r="B194" s="27" t="s">
        <v>676</v>
      </c>
      <c r="C194" s="27" t="s">
        <v>82</v>
      </c>
      <c r="D194" s="27" t="s">
        <v>482</v>
      </c>
      <c r="E194" s="27" t="s">
        <v>506</v>
      </c>
      <c r="F194" s="27" t="n">
        <v>3</v>
      </c>
      <c r="G194" s="27" t="n">
        <v>2</v>
      </c>
      <c r="H194" s="52" t="n">
        <v>2457</v>
      </c>
      <c r="I194" s="13" t="n">
        <v>1995</v>
      </c>
      <c r="J194" s="19" t="n">
        <v>479900</v>
      </c>
      <c r="K194" s="13" t="n">
        <v>632</v>
      </c>
      <c r="L194" s="27" t="s">
        <v>873</v>
      </c>
      <c r="M194" s="19" t="n">
        <v>34900</v>
      </c>
      <c r="N194" s="19" t="n">
        <v>486161</v>
      </c>
      <c r="O194" s="27" t="s">
        <v>515</v>
      </c>
      <c r="P194" s="27" t="s">
        <v>154</v>
      </c>
      <c r="Q194" s="27" t="s">
        <v>154</v>
      </c>
      <c r="R194" s="27" t="s">
        <v>69</v>
      </c>
      <c r="S194" s="27" t="s">
        <v>633</v>
      </c>
      <c r="T194" s="28" t="n">
        <f aca="false">Assumptions!$C$15</f>
        <v>0.25</v>
      </c>
      <c r="U194" s="21" t="n">
        <f aca="false">J194*(1-T194)</f>
        <v>359925</v>
      </c>
      <c r="V194" s="29" t="n">
        <f aca="false">IF((1-T194)&gt;0.75,Assumptions!$C$11,IF((1-T194)&gt;0.7,Assumptions!$C$12,Assumptions!$C$13))</f>
        <v>0.0725</v>
      </c>
      <c r="W194" s="21" t="n">
        <f aca="false">PMT(V194/12,Assumptions!$C$14,-U194)+J194*INDEX(Assumptions!$C$28:$C$34,MATCH(C194,Assumptions!$B$28:$B$34,0))/12+(INDEX(Assumptions!$D$28:$D$34,MATCH(C194,Assumptions!$B$28:$B$34,0))+INDEX(Assumptions!$C$22:$C$25,MATCH(R194,Assumptions!$B$22:$B$25,0)))/12</f>
        <v>3661.87714265892</v>
      </c>
      <c r="X194" s="21" t="n">
        <f aca="false">W194*12*$B$18/Assumptions!$C$18</f>
        <v>54928.1571398837</v>
      </c>
      <c r="Y194" s="21" t="n">
        <f aca="false">W194*12*$B$19/Assumptions!$C$18</f>
        <v>68660.1964248547</v>
      </c>
      <c r="Z194" s="21" t="n">
        <f aca="false">J194*(T194+Assumptions!$C$16)</f>
        <v>139171</v>
      </c>
      <c r="AA194" s="53" t="n">
        <f aca="false">IF(ISNUMBER(F194),F194,IF(H194&gt;=2000,4,3))</f>
        <v>3</v>
      </c>
      <c r="AB194" s="21" t="n">
        <f aca="false">IFERROR(INDEX($E$18:$H$25,MATCH(D194,$D$18:$D$25,0),1+IF(AA194&gt;=4,2,0)+IF(Q194="Y",1,0)),0)</f>
        <v>34000</v>
      </c>
      <c r="AC194" s="30" t="n">
        <f aca="false">IFERROR(AB194/X194,0)</f>
        <v>0.618990364330144</v>
      </c>
      <c r="AD194" s="4" t="str">
        <f aca="false">IF(ISNUMBER(SEARCH("Mobile",E194)),"EXCLUDED",IF(AB194&gt;=Y194,"PASS",IF(AB194&gt;=X194,"MARGINAL","FAIL")))</f>
        <v>FAIL</v>
      </c>
      <c r="AE194" s="26"/>
    </row>
    <row r="195" customFormat="false" ht="15" hidden="false" customHeight="false" outlineLevel="0" collapsed="false">
      <c r="A195" s="36" t="s">
        <v>874</v>
      </c>
      <c r="B195" s="36" t="s">
        <v>826</v>
      </c>
      <c r="C195" s="36" t="s">
        <v>82</v>
      </c>
      <c r="D195" s="36" t="s">
        <v>482</v>
      </c>
      <c r="E195" s="36" t="s">
        <v>506</v>
      </c>
      <c r="F195" s="36" t="n">
        <v>3</v>
      </c>
      <c r="G195" s="36" t="n">
        <v>2</v>
      </c>
      <c r="H195" s="55" t="n">
        <v>1990</v>
      </c>
      <c r="I195" s="34" t="n">
        <v>1995</v>
      </c>
      <c r="J195" s="37" t="n">
        <v>482412</v>
      </c>
      <c r="K195" s="34"/>
      <c r="L195" s="36" t="s">
        <v>875</v>
      </c>
      <c r="M195" s="37" t="n">
        <v>400000</v>
      </c>
      <c r="N195" s="37" t="n">
        <v>170635</v>
      </c>
      <c r="O195" s="36" t="s">
        <v>515</v>
      </c>
      <c r="P195" s="36" t="s">
        <v>154</v>
      </c>
      <c r="Q195" s="36" t="s">
        <v>154</v>
      </c>
      <c r="R195" s="36" t="s">
        <v>69</v>
      </c>
      <c r="S195" s="36" t="s">
        <v>633</v>
      </c>
      <c r="T195" s="39" t="n">
        <f aca="false">Assumptions!$C$15</f>
        <v>0.25</v>
      </c>
      <c r="U195" s="40" t="n">
        <f aca="false">J195*(1-T195)</f>
        <v>361809</v>
      </c>
      <c r="V195" s="41" t="n">
        <f aca="false">IF((1-T195)&gt;0.75,Assumptions!$C$11,IF((1-T195)&gt;0.7,Assumptions!$C$12,Assumptions!$C$13))</f>
        <v>0.0725</v>
      </c>
      <c r="W195" s="40" t="n">
        <f aca="false">PMT(V195/12,Assumptions!$C$14,-U195)+J195*INDEX(Assumptions!$C$28:$C$34,MATCH(C195,Assumptions!$B$28:$B$34,0))/12+(INDEX(Assumptions!$D$28:$D$34,MATCH(C195,Assumptions!$B$28:$B$34,0))+INDEX(Assumptions!$C$22:$C$25,MATCH(R195,Assumptions!$B$22:$B$25,0)))/12</f>
        <v>3677.55534377517</v>
      </c>
      <c r="X195" s="40" t="n">
        <f aca="false">W195*12*$B$18/Assumptions!$C$18</f>
        <v>55163.3301566276</v>
      </c>
      <c r="Y195" s="40" t="n">
        <f aca="false">W195*12*$B$19/Assumptions!$C$18</f>
        <v>68954.1626957845</v>
      </c>
      <c r="Z195" s="40" t="n">
        <f aca="false">J195*(T195+Assumptions!$C$16)</f>
        <v>139899.48</v>
      </c>
      <c r="AA195" s="56" t="n">
        <f aca="false">IF(ISNUMBER(F195),F195,IF(H195&gt;=2000,4,3))</f>
        <v>3</v>
      </c>
      <c r="AB195" s="40" t="n">
        <f aca="false">IFERROR(INDEX($E$18:$H$25,MATCH(D195,$D$18:$D$25,0),1+IF(AA195&gt;=4,2,0)+IF(Q195="Y",1,0)),0)</f>
        <v>34000</v>
      </c>
      <c r="AC195" s="42" t="n">
        <f aca="false">IFERROR(AB195/X195,0)</f>
        <v>0.616351476668692</v>
      </c>
      <c r="AD195" s="57" t="str">
        <f aca="false">IF(ISNUMBER(SEARCH("Mobile",E195)),"EXCLUDED",IF(AB195&gt;=Y195,"PASS",IF(AB195&gt;=X195,"MARGINAL","FAIL")))</f>
        <v>FAIL</v>
      </c>
      <c r="AE195" s="35" t="s">
        <v>762</v>
      </c>
    </row>
    <row r="196" customFormat="false" ht="15" hidden="false" customHeight="false" outlineLevel="0" collapsed="false">
      <c r="A196" s="27" t="s">
        <v>876</v>
      </c>
      <c r="B196" s="27" t="s">
        <v>231</v>
      </c>
      <c r="C196" s="27" t="s">
        <v>82</v>
      </c>
      <c r="D196" s="27" t="s">
        <v>482</v>
      </c>
      <c r="E196" s="27" t="s">
        <v>506</v>
      </c>
      <c r="F196" s="27" t="n">
        <v>3</v>
      </c>
      <c r="G196" s="27" t="n">
        <v>2</v>
      </c>
      <c r="H196" s="52" t="n">
        <v>1856</v>
      </c>
      <c r="I196" s="13" t="n">
        <v>1974</v>
      </c>
      <c r="J196" s="19" t="n">
        <v>484000</v>
      </c>
      <c r="K196" s="13" t="n">
        <v>4</v>
      </c>
      <c r="L196" s="27" t="s">
        <v>877</v>
      </c>
      <c r="M196" s="19" t="n">
        <v>500000</v>
      </c>
      <c r="N196" s="19" t="n">
        <v>489392</v>
      </c>
      <c r="O196" s="27" t="s">
        <v>515</v>
      </c>
      <c r="P196" s="27" t="s">
        <v>154</v>
      </c>
      <c r="Q196" s="27" t="s">
        <v>154</v>
      </c>
      <c r="R196" s="27" t="s">
        <v>69</v>
      </c>
      <c r="S196" s="27" t="s">
        <v>633</v>
      </c>
      <c r="T196" s="28" t="n">
        <f aca="false">Assumptions!$C$15</f>
        <v>0.25</v>
      </c>
      <c r="U196" s="21" t="n">
        <f aca="false">J196*(1-T196)</f>
        <v>363000</v>
      </c>
      <c r="V196" s="29" t="n">
        <f aca="false">IF((1-T196)&gt;0.75,Assumptions!$C$11,IF((1-T196)&gt;0.7,Assumptions!$C$12,Assumptions!$C$13))</f>
        <v>0.0725</v>
      </c>
      <c r="W196" s="21" t="n">
        <f aca="false">PMT(V196/12,Assumptions!$C$14,-U196)+J196*INDEX(Assumptions!$C$28:$C$34,MATCH(C196,Assumptions!$B$28:$B$34,0))/12+(INDEX(Assumptions!$D$28:$D$34,MATCH(C196,Assumptions!$B$28:$B$34,0))+INDEX(Assumptions!$C$22:$C$25,MATCH(R196,Assumptions!$B$22:$B$25,0)))/12</f>
        <v>3687.46656327064</v>
      </c>
      <c r="X196" s="21" t="n">
        <f aca="false">W196*12*$B$18/Assumptions!$C$18</f>
        <v>55311.9984490597</v>
      </c>
      <c r="Y196" s="21" t="n">
        <f aca="false">W196*12*$B$19/Assumptions!$C$18</f>
        <v>69139.9980613246</v>
      </c>
      <c r="Z196" s="21" t="n">
        <f aca="false">J196*(T196+Assumptions!$C$16)</f>
        <v>140360</v>
      </c>
      <c r="AA196" s="53" t="n">
        <f aca="false">IF(ISNUMBER(F196),F196,IF(H196&gt;=2000,4,3))</f>
        <v>3</v>
      </c>
      <c r="AB196" s="21" t="n">
        <f aca="false">IFERROR(INDEX($E$18:$H$25,MATCH(D196,$D$18:$D$25,0),1+IF(AA196&gt;=4,2,0)+IF(Q196="Y",1,0)),0)</f>
        <v>34000</v>
      </c>
      <c r="AC196" s="30" t="n">
        <f aca="false">IFERROR(AB196/X196,0)</f>
        <v>0.61469483933604</v>
      </c>
      <c r="AD196" s="4" t="str">
        <f aca="false">IF(ISNUMBER(SEARCH("Mobile",E196)),"EXCLUDED",IF(AB196&gt;=Y196,"PASS",IF(AB196&gt;=X196,"MARGINAL","FAIL")))</f>
        <v>FAIL</v>
      </c>
      <c r="AE196" s="26"/>
    </row>
    <row r="197" customFormat="false" ht="15" hidden="false" customHeight="false" outlineLevel="0" collapsed="false">
      <c r="A197" s="36" t="s">
        <v>878</v>
      </c>
      <c r="B197" s="36" t="s">
        <v>676</v>
      </c>
      <c r="C197" s="36" t="s">
        <v>82</v>
      </c>
      <c r="D197" s="36" t="s">
        <v>482</v>
      </c>
      <c r="E197" s="36" t="s">
        <v>506</v>
      </c>
      <c r="F197" s="36" t="n">
        <v>3</v>
      </c>
      <c r="G197" s="36" t="n">
        <v>2</v>
      </c>
      <c r="H197" s="55" t="n">
        <v>2098</v>
      </c>
      <c r="I197" s="34" t="n">
        <v>2023</v>
      </c>
      <c r="J197" s="37" t="n">
        <v>475000</v>
      </c>
      <c r="K197" s="34" t="n">
        <v>23</v>
      </c>
      <c r="L197" s="36" t="s">
        <v>879</v>
      </c>
      <c r="M197" s="37" t="n">
        <v>523545</v>
      </c>
      <c r="N197" s="37" t="n">
        <v>151429</v>
      </c>
      <c r="O197" s="36" t="s">
        <v>463</v>
      </c>
      <c r="P197" s="36" t="s">
        <v>154</v>
      </c>
      <c r="Q197" s="36" t="s">
        <v>154</v>
      </c>
      <c r="R197" s="36" t="s">
        <v>75</v>
      </c>
      <c r="S197" s="36" t="s">
        <v>633</v>
      </c>
      <c r="T197" s="39" t="n">
        <f aca="false">Assumptions!$C$15</f>
        <v>0.25</v>
      </c>
      <c r="U197" s="40" t="n">
        <f aca="false">J197*(1-T197)</f>
        <v>356250</v>
      </c>
      <c r="V197" s="41" t="n">
        <f aca="false">IF((1-T197)&gt;0.75,Assumptions!$C$11,IF((1-T197)&gt;0.7,Assumptions!$C$12,Assumptions!$C$13))</f>
        <v>0.0725</v>
      </c>
      <c r="W197" s="40" t="n">
        <f aca="false">PMT(V197/12,Assumptions!$C$14,-U197)+J197*INDEX(Assumptions!$C$28:$C$34,MATCH(C197,Assumptions!$B$28:$B$34,0))/12+(INDEX(Assumptions!$D$28:$D$34,MATCH(C197,Assumptions!$B$28:$B$34,0))+INDEX(Assumptions!$C$22:$C$25,MATCH(R197,Assumptions!$B$22:$B$25,0)))/12</f>
        <v>3714.62799770018</v>
      </c>
      <c r="X197" s="40" t="n">
        <f aca="false">W197*12*$B$18/Assumptions!$C$18</f>
        <v>55719.4199655028</v>
      </c>
      <c r="Y197" s="40" t="n">
        <f aca="false">W197*12*$B$19/Assumptions!$C$18</f>
        <v>69649.2749568784</v>
      </c>
      <c r="Z197" s="40" t="n">
        <f aca="false">J197*(T197+Assumptions!$C$16)</f>
        <v>137750</v>
      </c>
      <c r="AA197" s="56" t="n">
        <f aca="false">IF(ISNUMBER(F197),F197,IF(H197&gt;=2000,4,3))</f>
        <v>3</v>
      </c>
      <c r="AB197" s="40" t="n">
        <f aca="false">IFERROR(INDEX($E$18:$H$25,MATCH(D197,$D$18:$D$25,0),1+IF(AA197&gt;=4,2,0)+IF(Q197="Y",1,0)),0)</f>
        <v>34000</v>
      </c>
      <c r="AC197" s="42" t="n">
        <f aca="false">IFERROR(AB197/X197,0)</f>
        <v>0.610200178340877</v>
      </c>
      <c r="AD197" s="57" t="str">
        <f aca="false">IF(ISNUMBER(SEARCH("Mobile",E197)),"EXCLUDED",IF(AB197&gt;=Y197,"PASS",IF(AB197&gt;=X197,"MARGINAL","FAIL")))</f>
        <v>FAIL</v>
      </c>
      <c r="AE197" s="35"/>
    </row>
    <row r="198" customFormat="false" ht="15" hidden="false" customHeight="false" outlineLevel="0" collapsed="false">
      <c r="A198" s="27" t="s">
        <v>880</v>
      </c>
      <c r="B198" s="27" t="s">
        <v>826</v>
      </c>
      <c r="C198" s="27" t="s">
        <v>82</v>
      </c>
      <c r="D198" s="27" t="s">
        <v>482</v>
      </c>
      <c r="E198" s="27" t="s">
        <v>506</v>
      </c>
      <c r="F198" s="27" t="n">
        <v>3</v>
      </c>
      <c r="G198" s="27" t="n">
        <v>2</v>
      </c>
      <c r="H198" s="52" t="n">
        <v>1984</v>
      </c>
      <c r="I198" s="13" t="n">
        <v>2015</v>
      </c>
      <c r="J198" s="19" t="n">
        <v>489000</v>
      </c>
      <c r="K198" s="13" t="n">
        <v>364</v>
      </c>
      <c r="L198" s="27" t="s">
        <v>881</v>
      </c>
      <c r="M198" s="19" t="n">
        <v>318889</v>
      </c>
      <c r="N198" s="19" t="n">
        <v>531910</v>
      </c>
      <c r="O198" s="27" t="s">
        <v>463</v>
      </c>
      <c r="P198" s="27" t="s">
        <v>154</v>
      </c>
      <c r="Q198" s="27" t="s">
        <v>154</v>
      </c>
      <c r="R198" s="27" t="s">
        <v>69</v>
      </c>
      <c r="S198" s="27" t="s">
        <v>633</v>
      </c>
      <c r="T198" s="28" t="n">
        <f aca="false">Assumptions!$C$15</f>
        <v>0.25</v>
      </c>
      <c r="U198" s="21" t="n">
        <f aca="false">J198*(1-T198)</f>
        <v>366750</v>
      </c>
      <c r="V198" s="29" t="n">
        <f aca="false">IF((1-T198)&gt;0.75,Assumptions!$C$11,IF((1-T198)&gt;0.7,Assumptions!$C$12,Assumptions!$C$13))</f>
        <v>0.0725</v>
      </c>
      <c r="W198" s="21" t="n">
        <f aca="false">PMT(V198/12,Assumptions!$C$14,-U198)+J198*INDEX(Assumptions!$C$28:$C$34,MATCH(C198,Assumptions!$B$28:$B$34,0))/12+(INDEX(Assumptions!$D$28:$D$34,MATCH(C198,Assumptions!$B$28:$B$34,0))+INDEX(Assumptions!$C$22:$C$25,MATCH(R198,Assumptions!$B$22:$B$25,0)))/12</f>
        <v>3718.67317377275</v>
      </c>
      <c r="X198" s="21" t="n">
        <f aca="false">W198*12*$B$18/Assumptions!$C$18</f>
        <v>55780.0976065913</v>
      </c>
      <c r="Y198" s="21" t="n">
        <f aca="false">W198*12*$B$19/Assumptions!$C$18</f>
        <v>69725.1220082391</v>
      </c>
      <c r="Z198" s="21" t="n">
        <f aca="false">J198*(T198+Assumptions!$C$16)</f>
        <v>141810</v>
      </c>
      <c r="AA198" s="53" t="n">
        <f aca="false">IF(ISNUMBER(F198),F198,IF(H198&gt;=2000,4,3))</f>
        <v>3</v>
      </c>
      <c r="AB198" s="21" t="n">
        <f aca="false">IFERROR(INDEX($E$18:$H$25,MATCH(D198,$D$18:$D$25,0),1+IF(AA198&gt;=4,2,0)+IF(Q198="Y",1,0)),0)</f>
        <v>34000</v>
      </c>
      <c r="AC198" s="30" t="n">
        <f aca="false">IFERROR(AB198/X198,0)</f>
        <v>0.609536402029931</v>
      </c>
      <c r="AD198" s="4" t="str">
        <f aca="false">IF(ISNUMBER(SEARCH("Mobile",E198)),"EXCLUDED",IF(AB198&gt;=Y198,"PASS",IF(AB198&gt;=X198,"MARGINAL","FAIL")))</f>
        <v>FAIL</v>
      </c>
      <c r="AE198" s="26"/>
    </row>
    <row r="199" customFormat="false" ht="15" hidden="false" customHeight="false" outlineLevel="0" collapsed="false">
      <c r="A199" s="36" t="s">
        <v>882</v>
      </c>
      <c r="B199" s="36" t="s">
        <v>826</v>
      </c>
      <c r="C199" s="36" t="s">
        <v>82</v>
      </c>
      <c r="D199" s="36" t="s">
        <v>482</v>
      </c>
      <c r="E199" s="36" t="s">
        <v>506</v>
      </c>
      <c r="F199" s="36" t="n">
        <v>4</v>
      </c>
      <c r="G199" s="36" t="n">
        <v>2.5</v>
      </c>
      <c r="H199" s="55" t="n">
        <v>2333</v>
      </c>
      <c r="I199" s="34" t="n">
        <v>2023</v>
      </c>
      <c r="J199" s="37" t="n">
        <v>585000</v>
      </c>
      <c r="K199" s="34" t="n">
        <v>51</v>
      </c>
      <c r="L199" s="36" t="s">
        <v>883</v>
      </c>
      <c r="M199" s="37" t="n">
        <v>560900</v>
      </c>
      <c r="N199" s="37" t="n">
        <v>572661</v>
      </c>
      <c r="O199" s="36" t="s">
        <v>453</v>
      </c>
      <c r="P199" s="36" t="s">
        <v>154</v>
      </c>
      <c r="Q199" s="36" t="s">
        <v>154</v>
      </c>
      <c r="R199" s="36" t="s">
        <v>75</v>
      </c>
      <c r="S199" s="36" t="s">
        <v>633</v>
      </c>
      <c r="T199" s="39" t="n">
        <f aca="false">Assumptions!$C$15</f>
        <v>0.25</v>
      </c>
      <c r="U199" s="40" t="n">
        <f aca="false">J199*(1-T199)</f>
        <v>438750</v>
      </c>
      <c r="V199" s="41" t="n">
        <f aca="false">IF((1-T199)&gt;0.75,Assumptions!$C$11,IF((1-T199)&gt;0.7,Assumptions!$C$12,Assumptions!$C$13))</f>
        <v>0.0725</v>
      </c>
      <c r="W199" s="40" t="n">
        <f aca="false">PMT(V199/12,Assumptions!$C$14,-U199)+J199*INDEX(Assumptions!$C$28:$C$34,MATCH(C199,Assumptions!$B$28:$B$34,0))/12+(INDEX(Assumptions!$D$28:$D$34,MATCH(C199,Assumptions!$B$28:$B$34,0))+INDEX(Assumptions!$C$22:$C$25,MATCH(R199,Assumptions!$B$22:$B$25,0)))/12</f>
        <v>4401.17342874654</v>
      </c>
      <c r="X199" s="40" t="n">
        <f aca="false">W199*12*$B$18/Assumptions!$C$18</f>
        <v>66017.6014311981</v>
      </c>
      <c r="Y199" s="40" t="n">
        <f aca="false">W199*12*$B$19/Assumptions!$C$18</f>
        <v>82522.0017889977</v>
      </c>
      <c r="Z199" s="40" t="n">
        <f aca="false">J199*(T199+Assumptions!$C$16)</f>
        <v>169650</v>
      </c>
      <c r="AA199" s="56" t="n">
        <f aca="false">IF(ISNUMBER(F199),F199,IF(H199&gt;=2000,4,3))</f>
        <v>4</v>
      </c>
      <c r="AB199" s="40" t="n">
        <f aca="false">IFERROR(INDEX($E$18:$H$25,MATCH(D199,$D$18:$D$25,0),1+IF(AA199&gt;=4,2,0)+IF(Q199="Y",1,0)),0)</f>
        <v>40000</v>
      </c>
      <c r="AC199" s="42" t="n">
        <f aca="false">IFERROR(AB199/X199,0)</f>
        <v>0.605899019849835</v>
      </c>
      <c r="AD199" s="57" t="str">
        <f aca="false">IF(ISNUMBER(SEARCH("Mobile",E199)),"EXCLUDED",IF(AB199&gt;=Y199,"PASS",IF(AB199&gt;=X199,"MARGINAL","FAIL")))</f>
        <v>FAIL</v>
      </c>
      <c r="AE199" s="35"/>
    </row>
    <row r="200" customFormat="false" ht="15" hidden="false" customHeight="false" outlineLevel="0" collapsed="false">
      <c r="A200" s="27" t="s">
        <v>884</v>
      </c>
      <c r="B200" s="27" t="s">
        <v>644</v>
      </c>
      <c r="C200" s="27" t="s">
        <v>80</v>
      </c>
      <c r="D200" s="27" t="s">
        <v>480</v>
      </c>
      <c r="E200" s="27" t="s">
        <v>506</v>
      </c>
      <c r="F200" s="27" t="n">
        <v>3</v>
      </c>
      <c r="G200" s="27" t="n">
        <v>2.5</v>
      </c>
      <c r="H200" s="52" t="n">
        <v>1876</v>
      </c>
      <c r="I200" s="13" t="n">
        <v>1969</v>
      </c>
      <c r="J200" s="19" t="n">
        <v>649000</v>
      </c>
      <c r="K200" s="13" t="n">
        <v>536</v>
      </c>
      <c r="L200" s="27" t="s">
        <v>885</v>
      </c>
      <c r="M200" s="19" t="n">
        <v>273600</v>
      </c>
      <c r="N200" s="19" t="n">
        <v>640350</v>
      </c>
      <c r="O200" s="27" t="s">
        <v>515</v>
      </c>
      <c r="P200" s="27" t="s">
        <v>154</v>
      </c>
      <c r="Q200" s="27" t="s">
        <v>145</v>
      </c>
      <c r="R200" s="27" t="s">
        <v>71</v>
      </c>
      <c r="S200" s="27" t="s">
        <v>597</v>
      </c>
      <c r="T200" s="28" t="n">
        <f aca="false">Assumptions!$C$15</f>
        <v>0.25</v>
      </c>
      <c r="U200" s="21" t="n">
        <f aca="false">J200*(1-T200)</f>
        <v>486750</v>
      </c>
      <c r="V200" s="29" t="n">
        <f aca="false">IF((1-T200)&gt;0.75,Assumptions!$C$11,IF((1-T200)&gt;0.7,Assumptions!$C$12,Assumptions!$C$13))</f>
        <v>0.0725</v>
      </c>
      <c r="W200" s="21" t="n">
        <f aca="false">PMT(V200/12,Assumptions!$C$14,-U200)+J200*INDEX(Assumptions!$C$28:$C$34,MATCH(C200,Assumptions!$B$28:$B$34,0))/12+(INDEX(Assumptions!$D$28:$D$34,MATCH(C200,Assumptions!$B$28:$B$34,0))+INDEX(Assumptions!$C$22:$C$25,MATCH(R200,Assumptions!$B$22:$B$25,0)))/12</f>
        <v>5090.07637650685</v>
      </c>
      <c r="X200" s="21" t="n">
        <f aca="false">W200*12*$B$18/Assumptions!$C$18</f>
        <v>76351.1456476027</v>
      </c>
      <c r="Y200" s="21" t="n">
        <f aca="false">W200*12*$B$19/Assumptions!$C$18</f>
        <v>95438.9320595034</v>
      </c>
      <c r="Z200" s="21" t="n">
        <f aca="false">J200*(T200+Assumptions!$C$16)</f>
        <v>188210</v>
      </c>
      <c r="AA200" s="53" t="n">
        <f aca="false">IF(ISNUMBER(F200),F200,IF(H200&gt;=2000,4,3))</f>
        <v>3</v>
      </c>
      <c r="AB200" s="21" t="n">
        <f aca="false">IFERROR(INDEX($E$18:$H$25,MATCH(D200,$D$18:$D$25,0),1+IF(AA200&gt;=4,2,0)+IF(Q200="Y",1,0)),0)</f>
        <v>46000</v>
      </c>
      <c r="AC200" s="30" t="n">
        <f aca="false">IFERROR(AB200/X200,0)</f>
        <v>0.60247949929019</v>
      </c>
      <c r="AD200" s="4" t="str">
        <f aca="false">IF(ISNUMBER(SEARCH("Mobile",E200)),"EXCLUDED",IF(AB200&gt;=Y200,"PASS",IF(AB200&gt;=X200,"MARGINAL","FAIL")))</f>
        <v>FAIL</v>
      </c>
      <c r="AE200" s="26"/>
    </row>
    <row r="201" customFormat="false" ht="15" hidden="false" customHeight="false" outlineLevel="0" collapsed="false">
      <c r="A201" s="36" t="s">
        <v>886</v>
      </c>
      <c r="B201" s="36" t="s">
        <v>676</v>
      </c>
      <c r="C201" s="36" t="s">
        <v>82</v>
      </c>
      <c r="D201" s="36" t="s">
        <v>482</v>
      </c>
      <c r="E201" s="36" t="s">
        <v>506</v>
      </c>
      <c r="F201" s="36" t="n">
        <v>3</v>
      </c>
      <c r="G201" s="36" t="n">
        <v>2</v>
      </c>
      <c r="H201" s="55" t="n">
        <v>1572</v>
      </c>
      <c r="I201" s="34" t="n">
        <v>2021</v>
      </c>
      <c r="J201" s="37" t="n">
        <v>449900</v>
      </c>
      <c r="K201" s="34" t="n">
        <v>4</v>
      </c>
      <c r="L201" s="36" t="s">
        <v>887</v>
      </c>
      <c r="M201" s="37" t="n">
        <v>495000</v>
      </c>
      <c r="N201" s="37" t="n">
        <v>77505</v>
      </c>
      <c r="O201" s="36" t="s">
        <v>458</v>
      </c>
      <c r="P201" s="36" t="s">
        <v>154</v>
      </c>
      <c r="Q201" s="36" t="s">
        <v>154</v>
      </c>
      <c r="R201" s="36" t="s">
        <v>71</v>
      </c>
      <c r="S201" s="36" t="s">
        <v>633</v>
      </c>
      <c r="T201" s="39" t="n">
        <f aca="false">Assumptions!$C$15</f>
        <v>0.25</v>
      </c>
      <c r="U201" s="40" t="n">
        <f aca="false">J201*(1-T201)</f>
        <v>337425</v>
      </c>
      <c r="V201" s="41" t="n">
        <f aca="false">IF((1-T201)&gt;0.75,Assumptions!$C$11,IF((1-T201)&gt;0.7,Assumptions!$C$12,Assumptions!$C$13))</f>
        <v>0.0725</v>
      </c>
      <c r="W201" s="40" t="n">
        <f aca="false">PMT(V201/12,Assumptions!$C$14,-U201)+J201*INDEX(Assumptions!$C$28:$C$34,MATCH(C201,Assumptions!$B$28:$B$34,0))/12+(INDEX(Assumptions!$D$28:$D$34,MATCH(C201,Assumptions!$B$28:$B$34,0))+INDEX(Assumptions!$C$22:$C$25,MATCH(R201,Assumptions!$B$22:$B$25,0)))/12</f>
        <v>3766.30414631294</v>
      </c>
      <c r="X201" s="40" t="n">
        <f aca="false">W201*12*$B$18/Assumptions!$C$18</f>
        <v>56494.5621946941</v>
      </c>
      <c r="Y201" s="40" t="n">
        <f aca="false">W201*12*$B$19/Assumptions!$C$18</f>
        <v>70618.2027433676</v>
      </c>
      <c r="Z201" s="40" t="n">
        <f aca="false">J201*(T201+Assumptions!$C$16)</f>
        <v>130471</v>
      </c>
      <c r="AA201" s="56" t="n">
        <f aca="false">IF(ISNUMBER(F201),F201,IF(H201&gt;=2000,4,3))</f>
        <v>3</v>
      </c>
      <c r="AB201" s="40" t="n">
        <f aca="false">IFERROR(INDEX($E$18:$H$25,MATCH(D201,$D$18:$D$25,0),1+IF(AA201&gt;=4,2,0)+IF(Q201="Y",1,0)),0)</f>
        <v>34000</v>
      </c>
      <c r="AC201" s="42" t="n">
        <f aca="false">IFERROR(AB201/X201,0)</f>
        <v>0.601827834028126</v>
      </c>
      <c r="AD201" s="57" t="str">
        <f aca="false">IF(ISNUMBER(SEARCH("Mobile",E201)),"EXCLUDED",IF(AB201&gt;=Y201,"PASS",IF(AB201&gt;=X201,"MARGINAL","FAIL")))</f>
        <v>FAIL</v>
      </c>
      <c r="AE201" s="35"/>
    </row>
    <row r="202" customFormat="false" ht="15" hidden="false" customHeight="false" outlineLevel="0" collapsed="false">
      <c r="A202" s="27" t="s">
        <v>888</v>
      </c>
      <c r="B202" s="27" t="s">
        <v>661</v>
      </c>
      <c r="C202" s="27" t="s">
        <v>82</v>
      </c>
      <c r="D202" s="27" t="s">
        <v>482</v>
      </c>
      <c r="E202" s="27" t="s">
        <v>506</v>
      </c>
      <c r="F202" s="27" t="n">
        <v>3</v>
      </c>
      <c r="G202" s="27" t="n">
        <v>2</v>
      </c>
      <c r="H202" s="52" t="n">
        <v>1860</v>
      </c>
      <c r="I202" s="13" t="n">
        <v>2025</v>
      </c>
      <c r="J202" s="19" t="n">
        <v>499899</v>
      </c>
      <c r="K202" s="13" t="n">
        <v>20</v>
      </c>
      <c r="L202" s="27" t="s">
        <v>889</v>
      </c>
      <c r="M202" s="19" t="n">
        <v>150000</v>
      </c>
      <c r="N202" s="19" t="n">
        <v>225884</v>
      </c>
      <c r="O202" s="27" t="s">
        <v>453</v>
      </c>
      <c r="P202" s="27" t="s">
        <v>154</v>
      </c>
      <c r="Q202" s="27" t="s">
        <v>154</v>
      </c>
      <c r="R202" s="27" t="s">
        <v>69</v>
      </c>
      <c r="S202" s="27" t="s">
        <v>516</v>
      </c>
      <c r="T202" s="28" t="n">
        <f aca="false">Assumptions!$C$15</f>
        <v>0.25</v>
      </c>
      <c r="U202" s="21" t="n">
        <f aca="false">J202*(1-T202)</f>
        <v>374924.25</v>
      </c>
      <c r="V202" s="29" t="n">
        <f aca="false">IF((1-T202)&gt;0.75,Assumptions!$C$11,IF((1-T202)&gt;0.7,Assumptions!$C$12,Assumptions!$C$13))</f>
        <v>0.0725</v>
      </c>
      <c r="W202" s="21" t="n">
        <f aca="false">PMT(V202/12,Assumptions!$C$14,-U202)+J202*INDEX(Assumptions!$C$28:$C$34,MATCH(C202,Assumptions!$B$28:$B$34,0))/12+(INDEX(Assumptions!$D$28:$D$34,MATCH(C202,Assumptions!$B$28:$B$34,0))+INDEX(Assumptions!$C$22:$C$25,MATCH(R202,Assumptions!$B$22:$B$25,0)))/12</f>
        <v>3786.69734334524</v>
      </c>
      <c r="X202" s="21" t="n">
        <f aca="false">W202*12*$B$18/Assumptions!$C$18</f>
        <v>56800.4601501786</v>
      </c>
      <c r="Y202" s="21" t="n">
        <f aca="false">W202*12*$B$19/Assumptions!$C$18</f>
        <v>71000.5751877233</v>
      </c>
      <c r="Z202" s="21" t="n">
        <f aca="false">J202*(T202+Assumptions!$C$16)</f>
        <v>144970.71</v>
      </c>
      <c r="AA202" s="53" t="n">
        <f aca="false">IF(ISNUMBER(F202),F202,IF(H202&gt;=2000,4,3))</f>
        <v>3</v>
      </c>
      <c r="AB202" s="21" t="n">
        <f aca="false">IFERROR(INDEX($E$18:$H$25,MATCH(D202,$D$18:$D$25,0),1+IF(AA202&gt;=4,2,0)+IF(Q202="Y",1,0)),0)</f>
        <v>34000</v>
      </c>
      <c r="AC202" s="30" t="n">
        <f aca="false">IFERROR(AB202/X202,0)</f>
        <v>0.598586700003927</v>
      </c>
      <c r="AD202" s="4" t="str">
        <f aca="false">IF(ISNUMBER(SEARCH("Mobile",E202)),"EXCLUDED",IF(AB202&gt;=Y202,"PASS",IF(AB202&gt;=X202,"MARGINAL","FAIL")))</f>
        <v>FAIL</v>
      </c>
      <c r="AE202" s="26"/>
    </row>
    <row r="203" customFormat="false" ht="15" hidden="false" customHeight="false" outlineLevel="0" collapsed="false">
      <c r="A203" s="36" t="s">
        <v>890</v>
      </c>
      <c r="B203" s="36" t="s">
        <v>891</v>
      </c>
      <c r="C203" s="36" t="s">
        <v>82</v>
      </c>
      <c r="D203" s="36" t="s">
        <v>482</v>
      </c>
      <c r="E203" s="36" t="s">
        <v>506</v>
      </c>
      <c r="F203" s="36" t="n">
        <v>3</v>
      </c>
      <c r="G203" s="36" t="n">
        <v>2</v>
      </c>
      <c r="H203" s="55" t="n">
        <v>2004</v>
      </c>
      <c r="I203" s="34" t="n">
        <v>2018</v>
      </c>
      <c r="J203" s="37" t="n">
        <v>499999</v>
      </c>
      <c r="K203" s="34" t="n">
        <v>170</v>
      </c>
      <c r="L203" s="36" t="s">
        <v>892</v>
      </c>
      <c r="M203" s="37" t="n">
        <v>331800</v>
      </c>
      <c r="N203" s="37" t="n">
        <v>279996</v>
      </c>
      <c r="O203" s="36" t="s">
        <v>458</v>
      </c>
      <c r="P203" s="36" t="s">
        <v>154</v>
      </c>
      <c r="Q203" s="36" t="s">
        <v>154</v>
      </c>
      <c r="R203" s="36" t="s">
        <v>69</v>
      </c>
      <c r="S203" s="36" t="s">
        <v>633</v>
      </c>
      <c r="T203" s="39" t="n">
        <f aca="false">Assumptions!$C$15</f>
        <v>0.25</v>
      </c>
      <c r="U203" s="40" t="n">
        <f aca="false">J203*(1-T203)</f>
        <v>374999.25</v>
      </c>
      <c r="V203" s="41" t="n">
        <f aca="false">IF((1-T203)&gt;0.75,Assumptions!$C$11,IF((1-T203)&gt;0.7,Assumptions!$C$12,Assumptions!$C$13))</f>
        <v>0.0725</v>
      </c>
      <c r="W203" s="40" t="n">
        <f aca="false">PMT(V203/12,Assumptions!$C$14,-U203)+J203*INDEX(Assumptions!$C$28:$C$34,MATCH(C203,Assumptions!$B$28:$B$34,0))/12+(INDEX(Assumptions!$D$28:$D$34,MATCH(C203,Assumptions!$B$28:$B$34,0))+INDEX(Assumptions!$C$22:$C$25,MATCH(R203,Assumptions!$B$22:$B$25,0)))/12</f>
        <v>3787.32147555529</v>
      </c>
      <c r="X203" s="40" t="n">
        <f aca="false">W203*12*$B$18/Assumptions!$C$18</f>
        <v>56809.8221333293</v>
      </c>
      <c r="Y203" s="40" t="n">
        <f aca="false">W203*12*$B$19/Assumptions!$C$18</f>
        <v>71012.2776666616</v>
      </c>
      <c r="Z203" s="40" t="n">
        <f aca="false">J203*(T203+Assumptions!$C$16)</f>
        <v>144999.71</v>
      </c>
      <c r="AA203" s="56" t="n">
        <f aca="false">IF(ISNUMBER(F203),F203,IF(H203&gt;=2000,4,3))</f>
        <v>3</v>
      </c>
      <c r="AB203" s="40" t="n">
        <f aca="false">IFERROR(INDEX($E$18:$H$25,MATCH(D203,$D$18:$D$25,0),1+IF(AA203&gt;=4,2,0)+IF(Q203="Y",1,0)),0)</f>
        <v>34000</v>
      </c>
      <c r="AC203" s="42" t="n">
        <f aca="false">IFERROR(AB203/X203,0)</f>
        <v>0.59848805581901</v>
      </c>
      <c r="AD203" s="57" t="str">
        <f aca="false">IF(ISNUMBER(SEARCH("Mobile",E203)),"EXCLUDED",IF(AB203&gt;=Y203,"PASS",IF(AB203&gt;=X203,"MARGINAL","FAIL")))</f>
        <v>FAIL</v>
      </c>
      <c r="AE203" s="35"/>
    </row>
    <row r="204" customFormat="false" ht="15" hidden="false" customHeight="false" outlineLevel="0" collapsed="false">
      <c r="A204" s="27" t="s">
        <v>893</v>
      </c>
      <c r="B204" s="27" t="s">
        <v>676</v>
      </c>
      <c r="C204" s="27" t="s">
        <v>82</v>
      </c>
      <c r="D204" s="27" t="s">
        <v>482</v>
      </c>
      <c r="E204" s="27" t="s">
        <v>506</v>
      </c>
      <c r="F204" s="27" t="n">
        <v>3</v>
      </c>
      <c r="G204" s="27" t="n">
        <v>2.5</v>
      </c>
      <c r="H204" s="52" t="n">
        <v>2373</v>
      </c>
      <c r="I204" s="13" t="n">
        <v>2023</v>
      </c>
      <c r="J204" s="19" t="n">
        <v>499000</v>
      </c>
      <c r="K204" s="13" t="n">
        <v>165</v>
      </c>
      <c r="L204" s="27" t="s">
        <v>894</v>
      </c>
      <c r="M204" s="19" t="n">
        <v>640170</v>
      </c>
      <c r="N204" s="19" t="n">
        <v>521803</v>
      </c>
      <c r="O204" s="27" t="s">
        <v>448</v>
      </c>
      <c r="P204" s="27" t="s">
        <v>154</v>
      </c>
      <c r="Q204" s="27" t="s">
        <v>154</v>
      </c>
      <c r="R204" s="27" t="s">
        <v>75</v>
      </c>
      <c r="S204" s="27" t="s">
        <v>633</v>
      </c>
      <c r="T204" s="28" t="n">
        <f aca="false">Assumptions!$C$15</f>
        <v>0.25</v>
      </c>
      <c r="U204" s="21" t="n">
        <f aca="false">J204*(1-T204)</f>
        <v>374250</v>
      </c>
      <c r="V204" s="29" t="n">
        <f aca="false">IF((1-T204)&gt;0.75,Assumptions!$C$11,IF((1-T204)&gt;0.7,Assumptions!$C$12,Assumptions!$C$13))</f>
        <v>0.0725</v>
      </c>
      <c r="W204" s="21" t="n">
        <f aca="false">PMT(V204/12,Assumptions!$C$14,-U204)+J204*INDEX(Assumptions!$C$28:$C$34,MATCH(C204,Assumptions!$B$28:$B$34,0))/12+(INDEX(Assumptions!$D$28:$D$34,MATCH(C204,Assumptions!$B$28:$B$34,0))+INDEX(Assumptions!$C$22:$C$25,MATCH(R204,Assumptions!$B$22:$B$25,0)))/12</f>
        <v>3864.4197281103</v>
      </c>
      <c r="X204" s="21" t="n">
        <f aca="false">W204*12*$B$18/Assumptions!$C$18</f>
        <v>57966.2959216545</v>
      </c>
      <c r="Y204" s="21" t="n">
        <f aca="false">W204*12*$B$19/Assumptions!$C$18</f>
        <v>72457.8699020681</v>
      </c>
      <c r="Z204" s="21" t="n">
        <f aca="false">J204*(T204+Assumptions!$C$16)</f>
        <v>144710</v>
      </c>
      <c r="AA204" s="53" t="n">
        <f aca="false">IF(ISNUMBER(F204),F204,IF(H204&gt;=2000,4,3))</f>
        <v>3</v>
      </c>
      <c r="AB204" s="21" t="n">
        <f aca="false">IFERROR(INDEX($E$18:$H$25,MATCH(D204,$D$18:$D$25,0),1+IF(AA204&gt;=4,2,0)+IF(Q204="Y",1,0)),0)</f>
        <v>34000</v>
      </c>
      <c r="AC204" s="30" t="n">
        <f aca="false">IFERROR(AB204/X204,0)</f>
        <v>0.58654774225963</v>
      </c>
      <c r="AD204" s="4" t="str">
        <f aca="false">IF(ISNUMBER(SEARCH("Mobile",E204)),"EXCLUDED",IF(AB204&gt;=Y204,"PASS",IF(AB204&gt;=X204,"MARGINAL","FAIL")))</f>
        <v>FAIL</v>
      </c>
      <c r="AE204" s="26"/>
    </row>
    <row r="205" customFormat="false" ht="15" hidden="false" customHeight="false" outlineLevel="0" collapsed="false">
      <c r="A205" s="36" t="s">
        <v>895</v>
      </c>
      <c r="B205" s="36" t="s">
        <v>644</v>
      </c>
      <c r="C205" s="36" t="s">
        <v>80</v>
      </c>
      <c r="D205" s="36" t="s">
        <v>480</v>
      </c>
      <c r="E205" s="36" t="s">
        <v>506</v>
      </c>
      <c r="F205" s="36" t="n">
        <v>3</v>
      </c>
      <c r="G205" s="36" t="n">
        <v>2</v>
      </c>
      <c r="H205" s="55" t="n">
        <v>1933</v>
      </c>
      <c r="I205" s="34" t="n">
        <v>2024</v>
      </c>
      <c r="J205" s="37" t="n">
        <v>525000</v>
      </c>
      <c r="K205" s="34" t="n">
        <v>118</v>
      </c>
      <c r="L205" s="36" t="s">
        <v>896</v>
      </c>
      <c r="M205" s="37" t="n">
        <v>510000</v>
      </c>
      <c r="N205" s="37" t="n">
        <v>44168</v>
      </c>
      <c r="O205" s="36" t="s">
        <v>448</v>
      </c>
      <c r="P205" s="36" t="s">
        <v>154</v>
      </c>
      <c r="Q205" s="36" t="s">
        <v>154</v>
      </c>
      <c r="R205" s="36" t="s">
        <v>75</v>
      </c>
      <c r="S205" s="36" t="s">
        <v>597</v>
      </c>
      <c r="T205" s="39" t="n">
        <f aca="false">Assumptions!$C$15</f>
        <v>0.25</v>
      </c>
      <c r="U205" s="40" t="n">
        <f aca="false">J205*(1-T205)</f>
        <v>393750</v>
      </c>
      <c r="V205" s="41" t="n">
        <f aca="false">IF((1-T205)&gt;0.75,Assumptions!$C$11,IF((1-T205)&gt;0.7,Assumptions!$C$12,Assumptions!$C$13))</f>
        <v>0.0725</v>
      </c>
      <c r="W205" s="40" t="n">
        <f aca="false">PMT(V205/12,Assumptions!$C$14,-U205)+J205*INDEX(Assumptions!$C$28:$C$34,MATCH(C205,Assumptions!$B$28:$B$34,0))/12+(INDEX(Assumptions!$D$28:$D$34,MATCH(C205,Assumptions!$B$28:$B$34,0))+INDEX(Assumptions!$C$22:$C$25,MATCH(R205,Assumptions!$B$22:$B$25,0)))/12</f>
        <v>4092.31910272126</v>
      </c>
      <c r="X205" s="40" t="n">
        <f aca="false">W205*12*$B$18/Assumptions!$C$18</f>
        <v>61384.7865408188</v>
      </c>
      <c r="Y205" s="40" t="n">
        <f aca="false">W205*12*$B$19/Assumptions!$C$18</f>
        <v>76730.9831760235</v>
      </c>
      <c r="Z205" s="40" t="n">
        <f aca="false">J205*(T205+Assumptions!$C$16)</f>
        <v>152250</v>
      </c>
      <c r="AA205" s="56" t="n">
        <f aca="false">IF(ISNUMBER(F205),F205,IF(H205&gt;=2000,4,3))</f>
        <v>3</v>
      </c>
      <c r="AB205" s="40" t="n">
        <f aca="false">IFERROR(INDEX($E$18:$H$25,MATCH(D205,$D$18:$D$25,0),1+IF(AA205&gt;=4,2,0)+IF(Q205="Y",1,0)),0)</f>
        <v>36000</v>
      </c>
      <c r="AC205" s="42" t="n">
        <f aca="false">IFERROR(AB205/X205,0)</f>
        <v>0.586464530198557</v>
      </c>
      <c r="AD205" s="57" t="str">
        <f aca="false">IF(ISNUMBER(SEARCH("Mobile",E205)),"EXCLUDED",IF(AB205&gt;=Y205,"PASS",IF(AB205&gt;=X205,"MARGINAL","FAIL")))</f>
        <v>FAIL</v>
      </c>
      <c r="AE205" s="35"/>
    </row>
    <row r="206" customFormat="false" ht="15" hidden="false" customHeight="false" outlineLevel="0" collapsed="false">
      <c r="A206" s="27" t="s">
        <v>897</v>
      </c>
      <c r="B206" s="27" t="s">
        <v>676</v>
      </c>
      <c r="C206" s="27" t="s">
        <v>82</v>
      </c>
      <c r="D206" s="27" t="s">
        <v>482</v>
      </c>
      <c r="E206" s="27" t="s">
        <v>506</v>
      </c>
      <c r="F206" s="27" t="n">
        <v>4</v>
      </c>
      <c r="G206" s="27" t="n">
        <v>4</v>
      </c>
      <c r="H206" s="52" t="n">
        <v>2537</v>
      </c>
      <c r="I206" s="13" t="n">
        <v>2006</v>
      </c>
      <c r="J206" s="19" t="n">
        <v>624990</v>
      </c>
      <c r="K206" s="13" t="n">
        <v>16</v>
      </c>
      <c r="L206" s="27" t="s">
        <v>898</v>
      </c>
      <c r="M206" s="19" t="n">
        <v>297500</v>
      </c>
      <c r="N206" s="19" t="n">
        <v>649405</v>
      </c>
      <c r="O206" s="27" t="s">
        <v>448</v>
      </c>
      <c r="P206" s="27" t="s">
        <v>154</v>
      </c>
      <c r="Q206" s="27" t="s">
        <v>154</v>
      </c>
      <c r="R206" s="27" t="s">
        <v>69</v>
      </c>
      <c r="S206" s="27" t="s">
        <v>633</v>
      </c>
      <c r="T206" s="28" t="n">
        <f aca="false">Assumptions!$C$15</f>
        <v>0.25</v>
      </c>
      <c r="U206" s="21" t="n">
        <f aca="false">J206*(1-T206)</f>
        <v>468742.5</v>
      </c>
      <c r="V206" s="29" t="n">
        <f aca="false">IF((1-T206)&gt;0.75,Assumptions!$C$11,IF((1-T206)&gt;0.7,Assumptions!$C$12,Assumptions!$C$13))</f>
        <v>0.0725</v>
      </c>
      <c r="W206" s="21" t="n">
        <f aca="false">PMT(V206/12,Assumptions!$C$14,-U206)+J206*INDEX(Assumptions!$C$28:$C$34,MATCH(C206,Assumptions!$B$28:$B$34,0))/12+(INDEX(Assumptions!$D$28:$D$34,MATCH(C206,Assumptions!$B$28:$B$34,0))+INDEX(Assumptions!$C$22:$C$25,MATCH(R206,Assumptions!$B$22:$B$25,0)))/12</f>
        <v>4567.43056620906</v>
      </c>
      <c r="X206" s="21" t="n">
        <f aca="false">W206*12*$B$18/Assumptions!$C$18</f>
        <v>68511.4584931359</v>
      </c>
      <c r="Y206" s="21" t="n">
        <f aca="false">W206*12*$B$19/Assumptions!$C$18</f>
        <v>85639.3231164199</v>
      </c>
      <c r="Z206" s="21" t="n">
        <f aca="false">J206*(T206+Assumptions!$C$16)</f>
        <v>181247.1</v>
      </c>
      <c r="AA206" s="53" t="n">
        <f aca="false">IF(ISNUMBER(F206),F206,IF(H206&gt;=2000,4,3))</f>
        <v>4</v>
      </c>
      <c r="AB206" s="21" t="n">
        <f aca="false">IFERROR(INDEX($E$18:$H$25,MATCH(D206,$D$18:$D$25,0),1+IF(AA206&gt;=4,2,0)+IF(Q206="Y",1,0)),0)</f>
        <v>40000</v>
      </c>
      <c r="AC206" s="30" t="n">
        <f aca="false">IFERROR(AB206/X206,0)</f>
        <v>0.583843942017488</v>
      </c>
      <c r="AD206" s="4" t="str">
        <f aca="false">IF(ISNUMBER(SEARCH("Mobile",E206)),"EXCLUDED",IF(AB206&gt;=Y206,"PASS",IF(AB206&gt;=X206,"MARGINAL","FAIL")))</f>
        <v>FAIL</v>
      </c>
      <c r="AE206" s="26"/>
    </row>
    <row r="207" customFormat="false" ht="15" hidden="false" customHeight="false" outlineLevel="0" collapsed="false">
      <c r="A207" s="36" t="s">
        <v>899</v>
      </c>
      <c r="B207" s="36" t="s">
        <v>595</v>
      </c>
      <c r="C207" s="36" t="s">
        <v>80</v>
      </c>
      <c r="D207" s="36" t="s">
        <v>480</v>
      </c>
      <c r="E207" s="36" t="s">
        <v>506</v>
      </c>
      <c r="F207" s="36" t="n">
        <v>3</v>
      </c>
      <c r="G207" s="36" t="n">
        <v>2.5</v>
      </c>
      <c r="H207" s="55" t="n">
        <v>2035</v>
      </c>
      <c r="I207" s="34" t="n">
        <v>2016</v>
      </c>
      <c r="J207" s="37" t="n">
        <v>500000</v>
      </c>
      <c r="K207" s="34" t="n">
        <v>17</v>
      </c>
      <c r="L207" s="36" t="s">
        <v>900</v>
      </c>
      <c r="M207" s="37" t="n">
        <v>360605</v>
      </c>
      <c r="N207" s="37" t="n">
        <v>221074</v>
      </c>
      <c r="O207" s="36" t="s">
        <v>448</v>
      </c>
      <c r="P207" s="36" t="s">
        <v>154</v>
      </c>
      <c r="Q207" s="36" t="s">
        <v>154</v>
      </c>
      <c r="R207" s="36" t="s">
        <v>71</v>
      </c>
      <c r="S207" s="36" t="s">
        <v>597</v>
      </c>
      <c r="T207" s="39" t="n">
        <f aca="false">Assumptions!$C$15</f>
        <v>0.25</v>
      </c>
      <c r="U207" s="40" t="n">
        <f aca="false">J207*(1-T207)</f>
        <v>375000</v>
      </c>
      <c r="V207" s="41" t="n">
        <f aca="false">IF((1-T207)&gt;0.75,Assumptions!$C$11,IF((1-T207)&gt;0.7,Assumptions!$C$12,Assumptions!$C$13))</f>
        <v>0.0725</v>
      </c>
      <c r="W207" s="40" t="n">
        <f aca="false">PMT(V207/12,Assumptions!$C$14,-U207)+J207*INDEX(Assumptions!$C$28:$C$34,MATCH(C207,Assumptions!$B$28:$B$34,0))/12+(INDEX(Assumptions!$D$28:$D$34,MATCH(C207,Assumptions!$B$28:$B$34,0))+INDEX(Assumptions!$C$22:$C$25,MATCH(R207,Assumptions!$B$22:$B$25,0)))/12</f>
        <v>4141.49438354405</v>
      </c>
      <c r="X207" s="40" t="n">
        <f aca="false">W207*12*$B$18/Assumptions!$C$18</f>
        <v>62122.4157531608</v>
      </c>
      <c r="Y207" s="40" t="n">
        <f aca="false">W207*12*$B$19/Assumptions!$C$18</f>
        <v>77653.019691451</v>
      </c>
      <c r="Z207" s="40" t="n">
        <f aca="false">J207*(T207+Assumptions!$C$16)</f>
        <v>145000</v>
      </c>
      <c r="AA207" s="56" t="n">
        <f aca="false">IF(ISNUMBER(F207),F207,IF(H207&gt;=2000,4,3))</f>
        <v>3</v>
      </c>
      <c r="AB207" s="40" t="n">
        <f aca="false">IFERROR(INDEX($E$18:$H$25,MATCH(D207,$D$18:$D$25,0),1+IF(AA207&gt;=4,2,0)+IF(Q207="Y",1,0)),0)</f>
        <v>36000</v>
      </c>
      <c r="AC207" s="42" t="n">
        <f aca="false">IFERROR(AB207/X207,0)</f>
        <v>0.579500966978547</v>
      </c>
      <c r="AD207" s="57" t="str">
        <f aca="false">IF(ISNUMBER(SEARCH("Mobile",E207)),"EXCLUDED",IF(AB207&gt;=Y207,"PASS",IF(AB207&gt;=X207,"MARGINAL","FAIL")))</f>
        <v>FAIL</v>
      </c>
      <c r="AE207" s="35"/>
    </row>
    <row r="208" customFormat="false" ht="15" hidden="false" customHeight="false" outlineLevel="0" collapsed="false">
      <c r="A208" s="27" t="s">
        <v>901</v>
      </c>
      <c r="B208" s="27" t="s">
        <v>231</v>
      </c>
      <c r="C208" s="27" t="s">
        <v>82</v>
      </c>
      <c r="D208" s="27" t="s">
        <v>482</v>
      </c>
      <c r="E208" s="27" t="s">
        <v>506</v>
      </c>
      <c r="F208" s="27" t="n">
        <v>3</v>
      </c>
      <c r="G208" s="27" t="n">
        <v>2</v>
      </c>
      <c r="H208" s="52" t="n">
        <v>1308</v>
      </c>
      <c r="I208" s="13" t="n">
        <v>1959</v>
      </c>
      <c r="J208" s="19" t="n">
        <v>525000</v>
      </c>
      <c r="K208" s="13" t="n">
        <v>39</v>
      </c>
      <c r="L208" s="27" t="s">
        <v>902</v>
      </c>
      <c r="M208" s="19" t="n">
        <v>359000</v>
      </c>
      <c r="N208" s="19" t="n">
        <v>346446</v>
      </c>
      <c r="O208" s="27" t="s">
        <v>448</v>
      </c>
      <c r="P208" s="27" t="s">
        <v>154</v>
      </c>
      <c r="Q208" s="27" t="s">
        <v>154</v>
      </c>
      <c r="R208" s="27" t="s">
        <v>69</v>
      </c>
      <c r="S208" s="27" t="s">
        <v>633</v>
      </c>
      <c r="T208" s="28" t="n">
        <f aca="false">Assumptions!$C$15</f>
        <v>0.25</v>
      </c>
      <c r="U208" s="21" t="n">
        <f aca="false">J208*(1-T208)</f>
        <v>393750</v>
      </c>
      <c r="V208" s="29" t="n">
        <f aca="false">IF((1-T208)&gt;0.75,Assumptions!$C$11,IF((1-T208)&gt;0.7,Assumptions!$C$12,Assumptions!$C$13))</f>
        <v>0.0725</v>
      </c>
      <c r="W208" s="21" t="n">
        <f aca="false">PMT(V208/12,Assumptions!$C$14,-U208)+J208*INDEX(Assumptions!$C$28:$C$34,MATCH(C208,Assumptions!$B$28:$B$34,0))/12+(INDEX(Assumptions!$D$28:$D$34,MATCH(C208,Assumptions!$B$28:$B$34,0))+INDEX(Assumptions!$C$22:$C$25,MATCH(R208,Assumptions!$B$22:$B$25,0)))/12</f>
        <v>3943.36076938792</v>
      </c>
      <c r="X208" s="21" t="n">
        <f aca="false">W208*12*$B$18/Assumptions!$C$18</f>
        <v>59150.4115408188</v>
      </c>
      <c r="Y208" s="21" t="n">
        <f aca="false">W208*12*$B$19/Assumptions!$C$18</f>
        <v>73938.0144260235</v>
      </c>
      <c r="Z208" s="21" t="n">
        <f aca="false">J208*(T208+Assumptions!$C$16)</f>
        <v>152250</v>
      </c>
      <c r="AA208" s="53" t="n">
        <f aca="false">IF(ISNUMBER(F208),F208,IF(H208&gt;=2000,4,3))</f>
        <v>3</v>
      </c>
      <c r="AB208" s="21" t="n">
        <f aca="false">IFERROR(INDEX($E$18:$H$25,MATCH(D208,$D$18:$D$25,0),1+IF(AA208&gt;=4,2,0)+IF(Q208="Y",1,0)),0)</f>
        <v>34000</v>
      </c>
      <c r="AC208" s="30" t="n">
        <f aca="false">IFERROR(AB208/X208,0)</f>
        <v>0.574805806322025</v>
      </c>
      <c r="AD208" s="4" t="str">
        <f aca="false">IF(ISNUMBER(SEARCH("Mobile",E208)),"EXCLUDED",IF(AB208&gt;=Y208,"PASS",IF(AB208&gt;=X208,"MARGINAL","FAIL")))</f>
        <v>FAIL</v>
      </c>
      <c r="AE208" s="26"/>
    </row>
    <row r="209" customFormat="false" ht="15" hidden="false" customHeight="false" outlineLevel="0" collapsed="false">
      <c r="A209" s="36" t="s">
        <v>903</v>
      </c>
      <c r="B209" s="36" t="s">
        <v>661</v>
      </c>
      <c r="C209" s="36" t="s">
        <v>82</v>
      </c>
      <c r="D209" s="36" t="s">
        <v>482</v>
      </c>
      <c r="E209" s="36" t="s">
        <v>506</v>
      </c>
      <c r="F209" s="36" t="n">
        <v>3</v>
      </c>
      <c r="G209" s="36" t="n">
        <v>2</v>
      </c>
      <c r="H209" s="55" t="n">
        <v>1990</v>
      </c>
      <c r="I209" s="34" t="n">
        <v>1998</v>
      </c>
      <c r="J209" s="37" t="n">
        <v>525000</v>
      </c>
      <c r="K209" s="34" t="n">
        <v>229</v>
      </c>
      <c r="L209" s="36" t="s">
        <v>904</v>
      </c>
      <c r="M209" s="37" t="n">
        <v>325000</v>
      </c>
      <c r="N209" s="37" t="n">
        <v>479331</v>
      </c>
      <c r="O209" s="36" t="s">
        <v>458</v>
      </c>
      <c r="P209" s="36" t="s">
        <v>154</v>
      </c>
      <c r="Q209" s="36" t="s">
        <v>154</v>
      </c>
      <c r="R209" s="36" t="s">
        <v>69</v>
      </c>
      <c r="S209" s="36" t="s">
        <v>516</v>
      </c>
      <c r="T209" s="39" t="n">
        <f aca="false">Assumptions!$C$15</f>
        <v>0.25</v>
      </c>
      <c r="U209" s="40" t="n">
        <f aca="false">J209*(1-T209)</f>
        <v>393750</v>
      </c>
      <c r="V209" s="41" t="n">
        <f aca="false">IF((1-T209)&gt;0.75,Assumptions!$C$11,IF((1-T209)&gt;0.7,Assumptions!$C$12,Assumptions!$C$13))</f>
        <v>0.0725</v>
      </c>
      <c r="W209" s="40" t="n">
        <f aca="false">PMT(V209/12,Assumptions!$C$14,-U209)+J209*INDEX(Assumptions!$C$28:$C$34,MATCH(C209,Assumptions!$B$28:$B$34,0))/12+(INDEX(Assumptions!$D$28:$D$34,MATCH(C209,Assumptions!$B$28:$B$34,0))+INDEX(Assumptions!$C$22:$C$25,MATCH(R209,Assumptions!$B$22:$B$25,0)))/12</f>
        <v>3943.36076938792</v>
      </c>
      <c r="X209" s="40" t="n">
        <f aca="false">W209*12*$B$18/Assumptions!$C$18</f>
        <v>59150.4115408188</v>
      </c>
      <c r="Y209" s="40" t="n">
        <f aca="false">W209*12*$B$19/Assumptions!$C$18</f>
        <v>73938.0144260235</v>
      </c>
      <c r="Z209" s="40" t="n">
        <f aca="false">J209*(T209+Assumptions!$C$16)</f>
        <v>152250</v>
      </c>
      <c r="AA209" s="56" t="n">
        <f aca="false">IF(ISNUMBER(F209),F209,IF(H209&gt;=2000,4,3))</f>
        <v>3</v>
      </c>
      <c r="AB209" s="40" t="n">
        <f aca="false">IFERROR(INDEX($E$18:$H$25,MATCH(D209,$D$18:$D$25,0),1+IF(AA209&gt;=4,2,0)+IF(Q209="Y",1,0)),0)</f>
        <v>34000</v>
      </c>
      <c r="AC209" s="42" t="n">
        <f aca="false">IFERROR(AB209/X209,0)</f>
        <v>0.574805806322025</v>
      </c>
      <c r="AD209" s="57" t="str">
        <f aca="false">IF(ISNUMBER(SEARCH("Mobile",E209)),"EXCLUDED",IF(AB209&gt;=Y209,"PASS",IF(AB209&gt;=X209,"MARGINAL","FAIL")))</f>
        <v>FAIL</v>
      </c>
      <c r="AE209" s="35"/>
    </row>
    <row r="210" customFormat="false" ht="15" hidden="false" customHeight="false" outlineLevel="0" collapsed="false">
      <c r="A210" s="27" t="s">
        <v>905</v>
      </c>
      <c r="B210" s="27" t="s">
        <v>826</v>
      </c>
      <c r="C210" s="27" t="s">
        <v>82</v>
      </c>
      <c r="D210" s="27" t="s">
        <v>482</v>
      </c>
      <c r="E210" s="27" t="s">
        <v>506</v>
      </c>
      <c r="F210" s="27" t="n">
        <v>5</v>
      </c>
      <c r="G210" s="27" t="n">
        <v>3</v>
      </c>
      <c r="H210" s="52" t="n">
        <v>2164</v>
      </c>
      <c r="I210" s="13" t="n">
        <v>1976</v>
      </c>
      <c r="J210" s="19" t="n">
        <v>649999</v>
      </c>
      <c r="K210" s="13" t="n">
        <v>545</v>
      </c>
      <c r="L210" s="27" t="s">
        <v>906</v>
      </c>
      <c r="M210" s="19" t="n">
        <v>405000</v>
      </c>
      <c r="N210" s="19" t="n">
        <v>397018</v>
      </c>
      <c r="O210" s="27" t="s">
        <v>463</v>
      </c>
      <c r="P210" s="27" t="s">
        <v>154</v>
      </c>
      <c r="Q210" s="27" t="s">
        <v>154</v>
      </c>
      <c r="R210" s="27" t="s">
        <v>69</v>
      </c>
      <c r="S210" s="27" t="s">
        <v>633</v>
      </c>
      <c r="T210" s="28" t="n">
        <f aca="false">Assumptions!$C$15</f>
        <v>0.25</v>
      </c>
      <c r="U210" s="21" t="n">
        <f aca="false">J210*(1-T210)</f>
        <v>487499.25</v>
      </c>
      <c r="V210" s="29" t="n">
        <f aca="false">IF((1-T210)&gt;0.75,Assumptions!$C$11,IF((1-T210)&gt;0.7,Assumptions!$C$12,Assumptions!$C$13))</f>
        <v>0.0725</v>
      </c>
      <c r="W210" s="21" t="n">
        <f aca="false">PMT(V210/12,Assumptions!$C$14,-U210)+J210*INDEX(Assumptions!$C$28:$C$34,MATCH(C210,Assumptions!$B$28:$B$34,0))/12+(INDEX(Assumptions!$D$28:$D$34,MATCH(C210,Assumptions!$B$28:$B$34,0))+INDEX(Assumptions!$C$22:$C$25,MATCH(R210,Assumptions!$B$22:$B$25,0)))/12</f>
        <v>4723.5197906185</v>
      </c>
      <c r="X210" s="21" t="n">
        <f aca="false">W210*12*$B$18/Assumptions!$C$18</f>
        <v>70852.7968592775</v>
      </c>
      <c r="Y210" s="21" t="n">
        <f aca="false">W210*12*$B$19/Assumptions!$C$18</f>
        <v>88565.9960740969</v>
      </c>
      <c r="Z210" s="21" t="n">
        <f aca="false">J210*(T210+Assumptions!$C$16)</f>
        <v>188499.71</v>
      </c>
      <c r="AA210" s="53" t="n">
        <f aca="false">IF(ISNUMBER(F210),F210,IF(H210&gt;=2000,4,3))</f>
        <v>5</v>
      </c>
      <c r="AB210" s="21" t="n">
        <f aca="false">IFERROR(INDEX($E$18:$H$25,MATCH(D210,$D$18:$D$25,0),1+IF(AA210&gt;=4,2,0)+IF(Q210="Y",1,0)),0)</f>
        <v>40000</v>
      </c>
      <c r="AC210" s="30" t="n">
        <f aca="false">IFERROR(AB210/X210,0)</f>
        <v>0.564550755553729</v>
      </c>
      <c r="AD210" s="4" t="str">
        <f aca="false">IF(ISNUMBER(SEARCH("Mobile",E210)),"EXCLUDED",IF(AB210&gt;=Y210,"PASS",IF(AB210&gt;=X210,"MARGINAL","FAIL")))</f>
        <v>FAIL</v>
      </c>
      <c r="AE210" s="26"/>
    </row>
    <row r="211" customFormat="false" ht="15" hidden="false" customHeight="false" outlineLevel="0" collapsed="false">
      <c r="A211" s="36" t="s">
        <v>907</v>
      </c>
      <c r="B211" s="36" t="s">
        <v>826</v>
      </c>
      <c r="C211" s="36" t="s">
        <v>82</v>
      </c>
      <c r="D211" s="36" t="s">
        <v>482</v>
      </c>
      <c r="E211" s="36" t="s">
        <v>506</v>
      </c>
      <c r="F211" s="36" t="n">
        <v>3</v>
      </c>
      <c r="G211" s="36" t="n">
        <v>2.5</v>
      </c>
      <c r="H211" s="55" t="n">
        <v>2214</v>
      </c>
      <c r="I211" s="34" t="n">
        <v>2021</v>
      </c>
      <c r="J211" s="37" t="n">
        <v>539900</v>
      </c>
      <c r="K211" s="34" t="n">
        <v>199</v>
      </c>
      <c r="L211" s="36" t="s">
        <v>908</v>
      </c>
      <c r="M211" s="37" t="n">
        <v>413505</v>
      </c>
      <c r="N211" s="37" t="n">
        <v>373362</v>
      </c>
      <c r="O211" s="36" t="s">
        <v>448</v>
      </c>
      <c r="P211" s="36" t="s">
        <v>154</v>
      </c>
      <c r="Q211" s="36" t="s">
        <v>154</v>
      </c>
      <c r="R211" s="36" t="s">
        <v>69</v>
      </c>
      <c r="S211" s="36" t="s">
        <v>633</v>
      </c>
      <c r="T211" s="39" t="n">
        <f aca="false">Assumptions!$C$15</f>
        <v>0.25</v>
      </c>
      <c r="U211" s="40" t="n">
        <f aca="false">J211*(1-T211)</f>
        <v>404925</v>
      </c>
      <c r="V211" s="41" t="n">
        <f aca="false">IF((1-T211)&gt;0.75,Assumptions!$C$11,IF((1-T211)&gt;0.7,Assumptions!$C$12,Assumptions!$C$13))</f>
        <v>0.0725</v>
      </c>
      <c r="W211" s="40" t="n">
        <f aca="false">PMT(V211/12,Assumptions!$C$14,-U211)+J211*INDEX(Assumptions!$C$28:$C$34,MATCH(C211,Assumptions!$B$28:$B$34,0))/12+(INDEX(Assumptions!$D$28:$D$34,MATCH(C211,Assumptions!$B$28:$B$34,0))+INDEX(Assumptions!$C$22:$C$25,MATCH(R211,Assumptions!$B$22:$B$25,0)))/12</f>
        <v>4036.3564686842</v>
      </c>
      <c r="X211" s="40" t="n">
        <f aca="false">W211*12*$B$18/Assumptions!$C$18</f>
        <v>60545.347030263</v>
      </c>
      <c r="Y211" s="40" t="n">
        <f aca="false">W211*12*$B$19/Assumptions!$C$18</f>
        <v>75681.6837878288</v>
      </c>
      <c r="Z211" s="40" t="n">
        <f aca="false">J211*(T211+Assumptions!$C$16)</f>
        <v>156571</v>
      </c>
      <c r="AA211" s="56" t="n">
        <f aca="false">IF(ISNUMBER(F211),F211,IF(H211&gt;=2000,4,3))</f>
        <v>3</v>
      </c>
      <c r="AB211" s="40" t="n">
        <f aca="false">IFERROR(INDEX($E$18:$H$25,MATCH(D211,$D$18:$D$25,0),1+IF(AA211&gt;=4,2,0)+IF(Q211="Y",1,0)),0)</f>
        <v>34000</v>
      </c>
      <c r="AC211" s="42" t="n">
        <f aca="false">IFERROR(AB211/X211,0)</f>
        <v>0.561562558771121</v>
      </c>
      <c r="AD211" s="57" t="str">
        <f aca="false">IF(ISNUMBER(SEARCH("Mobile",E211)),"EXCLUDED",IF(AB211&gt;=Y211,"PASS",IF(AB211&gt;=X211,"MARGINAL","FAIL")))</f>
        <v>FAIL</v>
      </c>
      <c r="AE211" s="35"/>
    </row>
    <row r="212" customFormat="false" ht="15" hidden="false" customHeight="false" outlineLevel="0" collapsed="false">
      <c r="A212" s="27" t="s">
        <v>909</v>
      </c>
      <c r="B212" s="27" t="s">
        <v>676</v>
      </c>
      <c r="C212" s="27" t="s">
        <v>82</v>
      </c>
      <c r="D212" s="27" t="s">
        <v>482</v>
      </c>
      <c r="E212" s="27" t="s">
        <v>506</v>
      </c>
      <c r="F212" s="27" t="n">
        <v>3</v>
      </c>
      <c r="G212" s="27" t="n">
        <v>2</v>
      </c>
      <c r="H212" s="52" t="n">
        <v>1856</v>
      </c>
      <c r="I212" s="13" t="n">
        <v>2023</v>
      </c>
      <c r="J212" s="19" t="n">
        <v>535000</v>
      </c>
      <c r="K212" s="13" t="n">
        <v>69</v>
      </c>
      <c r="L212" s="27"/>
      <c r="M212" s="19"/>
      <c r="N212" s="19" t="n">
        <v>464850</v>
      </c>
      <c r="O212" s="27" t="s">
        <v>448</v>
      </c>
      <c r="P212" s="27" t="s">
        <v>154</v>
      </c>
      <c r="Q212" s="27" t="s">
        <v>154</v>
      </c>
      <c r="R212" s="27" t="s">
        <v>75</v>
      </c>
      <c r="S212" s="27" t="s">
        <v>633</v>
      </c>
      <c r="T212" s="28" t="n">
        <f aca="false">Assumptions!$C$15</f>
        <v>0.25</v>
      </c>
      <c r="U212" s="21" t="n">
        <f aca="false">J212*(1-T212)</f>
        <v>401250</v>
      </c>
      <c r="V212" s="29" t="n">
        <f aca="false">IF((1-T212)&gt;0.75,Assumptions!$C$11,IF((1-T212)&gt;0.7,Assumptions!$C$12,Assumptions!$C$13))</f>
        <v>0.0725</v>
      </c>
      <c r="W212" s="21" t="n">
        <f aca="false">PMT(V212/12,Assumptions!$C$14,-U212)+J212*INDEX(Assumptions!$C$28:$C$34,MATCH(C212,Assumptions!$B$28:$B$34,0))/12+(INDEX(Assumptions!$D$28:$D$34,MATCH(C212,Assumptions!$B$28:$B$34,0))+INDEX(Assumptions!$C$22:$C$25,MATCH(R212,Assumptions!$B$22:$B$25,0)))/12</f>
        <v>4089.10732372547</v>
      </c>
      <c r="X212" s="21" t="n">
        <f aca="false">W212*12*$B$18/Assumptions!$C$18</f>
        <v>61336.609855882</v>
      </c>
      <c r="Y212" s="21" t="n">
        <f aca="false">W212*12*$B$19/Assumptions!$C$18</f>
        <v>76670.7623198526</v>
      </c>
      <c r="Z212" s="21" t="n">
        <f aca="false">J212*(T212+Assumptions!$C$16)</f>
        <v>155150</v>
      </c>
      <c r="AA212" s="53" t="n">
        <f aca="false">IF(ISNUMBER(F212),F212,IF(H212&gt;=2000,4,3))</f>
        <v>3</v>
      </c>
      <c r="AB212" s="21" t="n">
        <f aca="false">IFERROR(INDEX($E$18:$H$25,MATCH(D212,$D$18:$D$25,0),1+IF(AA212&gt;=4,2,0)+IF(Q212="Y",1,0)),0)</f>
        <v>34000</v>
      </c>
      <c r="AC212" s="30" t="n">
        <f aca="false">IFERROR(AB212/X212,0)</f>
        <v>0.554318213541427</v>
      </c>
      <c r="AD212" s="4" t="str">
        <f aca="false">IF(ISNUMBER(SEARCH("Mobile",E212)),"EXCLUDED",IF(AB212&gt;=Y212,"PASS",IF(AB212&gt;=X212,"MARGINAL","FAIL")))</f>
        <v>FAIL</v>
      </c>
      <c r="AE212" s="26"/>
    </row>
    <row r="213" customFormat="false" ht="15" hidden="false" customHeight="false" outlineLevel="0" collapsed="false">
      <c r="A213" s="36" t="s">
        <v>910</v>
      </c>
      <c r="B213" s="36" t="s">
        <v>644</v>
      </c>
      <c r="C213" s="36" t="s">
        <v>80</v>
      </c>
      <c r="D213" s="36" t="s">
        <v>480</v>
      </c>
      <c r="E213" s="36" t="s">
        <v>506</v>
      </c>
      <c r="F213" s="36" t="n">
        <v>3</v>
      </c>
      <c r="G213" s="36" t="n">
        <v>3.5</v>
      </c>
      <c r="H213" s="55" t="n">
        <v>2098</v>
      </c>
      <c r="I213" s="34" t="n">
        <v>2022</v>
      </c>
      <c r="J213" s="37" t="n">
        <v>584900</v>
      </c>
      <c r="K213" s="34" t="n">
        <v>115</v>
      </c>
      <c r="L213" s="36" t="s">
        <v>911</v>
      </c>
      <c r="M213" s="37" t="n">
        <v>622093</v>
      </c>
      <c r="N213" s="37" t="n">
        <v>584497</v>
      </c>
      <c r="O213" s="36" t="s">
        <v>448</v>
      </c>
      <c r="P213" s="36" t="s">
        <v>154</v>
      </c>
      <c r="Q213" s="36" t="s">
        <v>154</v>
      </c>
      <c r="R213" s="36" t="s">
        <v>75</v>
      </c>
      <c r="S213" s="36" t="s">
        <v>597</v>
      </c>
      <c r="T213" s="39" t="n">
        <f aca="false">Assumptions!$C$15</f>
        <v>0.25</v>
      </c>
      <c r="U213" s="40" t="n">
        <f aca="false">J213*(1-T213)</f>
        <v>438675</v>
      </c>
      <c r="V213" s="41" t="n">
        <f aca="false">IF((1-T213)&gt;0.75,Assumptions!$C$11,IF((1-T213)&gt;0.7,Assumptions!$C$12,Assumptions!$C$13))</f>
        <v>0.0725</v>
      </c>
      <c r="W213" s="40" t="n">
        <f aca="false">PMT(V213/12,Assumptions!$C$14,-U213)+J213*INDEX(Assumptions!$C$28:$C$34,MATCH(C213,Assumptions!$B$28:$B$34,0))/12+(INDEX(Assumptions!$D$28:$D$34,MATCH(C213,Assumptions!$B$28:$B$34,0))+INDEX(Assumptions!$C$22:$C$25,MATCH(R213,Assumptions!$B$22:$B$25,0)))/12</f>
        <v>4473.6617965365</v>
      </c>
      <c r="X213" s="40" t="n">
        <f aca="false">W213*12*$B$18/Assumptions!$C$18</f>
        <v>67104.9269480475</v>
      </c>
      <c r="Y213" s="40" t="n">
        <f aca="false">W213*12*$B$19/Assumptions!$C$18</f>
        <v>83881.1586850594</v>
      </c>
      <c r="Z213" s="40" t="n">
        <f aca="false">J213*(T213+Assumptions!$C$16)</f>
        <v>169621</v>
      </c>
      <c r="AA213" s="56" t="n">
        <f aca="false">IF(ISNUMBER(F213),F213,IF(H213&gt;=2000,4,3))</f>
        <v>3</v>
      </c>
      <c r="AB213" s="40" t="n">
        <f aca="false">IFERROR(INDEX($E$18:$H$25,MATCH(D213,$D$18:$D$25,0),1+IF(AA213&gt;=4,2,0)+IF(Q213="Y",1,0)),0)</f>
        <v>36000</v>
      </c>
      <c r="AC213" s="42" t="n">
        <f aca="false">IFERROR(AB213/X213,0)</f>
        <v>0.536473276066169</v>
      </c>
      <c r="AD213" s="57" t="str">
        <f aca="false">IF(ISNUMBER(SEARCH("Mobile",E213)),"EXCLUDED",IF(AB213&gt;=Y213,"PASS",IF(AB213&gt;=X213,"MARGINAL","FAIL")))</f>
        <v>FAIL</v>
      </c>
      <c r="AE213" s="35"/>
    </row>
    <row r="214" customFormat="false" ht="15" hidden="false" customHeight="false" outlineLevel="0" collapsed="false">
      <c r="A214" s="27" t="s">
        <v>912</v>
      </c>
      <c r="B214" s="27" t="s">
        <v>826</v>
      </c>
      <c r="C214" s="27" t="s">
        <v>82</v>
      </c>
      <c r="D214" s="27" t="s">
        <v>482</v>
      </c>
      <c r="E214" s="27" t="s">
        <v>506</v>
      </c>
      <c r="F214" s="27" t="n">
        <v>3</v>
      </c>
      <c r="G214" s="27" t="n">
        <v>2</v>
      </c>
      <c r="H214" s="52" t="n">
        <v>1705</v>
      </c>
      <c r="I214" s="13" t="n">
        <v>1954</v>
      </c>
      <c r="J214" s="19" t="n">
        <v>525000</v>
      </c>
      <c r="K214" s="13" t="n">
        <v>40</v>
      </c>
      <c r="L214" s="27" t="s">
        <v>913</v>
      </c>
      <c r="M214" s="19"/>
      <c r="N214" s="19" t="n">
        <v>447372</v>
      </c>
      <c r="O214" s="27" t="s">
        <v>515</v>
      </c>
      <c r="P214" s="27" t="s">
        <v>154</v>
      </c>
      <c r="Q214" s="27" t="s">
        <v>154</v>
      </c>
      <c r="R214" s="27" t="s">
        <v>71</v>
      </c>
      <c r="S214" s="27" t="s">
        <v>633</v>
      </c>
      <c r="T214" s="28" t="n">
        <f aca="false">Assumptions!$C$15</f>
        <v>0.25</v>
      </c>
      <c r="U214" s="21" t="n">
        <f aca="false">J214*(1-T214)</f>
        <v>393750</v>
      </c>
      <c r="V214" s="29" t="n">
        <f aca="false">IF((1-T214)&gt;0.75,Assumptions!$C$11,IF((1-T214)&gt;0.7,Assumptions!$C$12,Assumptions!$C$13))</f>
        <v>0.0725</v>
      </c>
      <c r="W214" s="21" t="n">
        <f aca="false">PMT(V214/12,Assumptions!$C$14,-U214)+J214*INDEX(Assumptions!$C$28:$C$34,MATCH(C214,Assumptions!$B$28:$B$34,0))/12+(INDEX(Assumptions!$D$28:$D$34,MATCH(C214,Assumptions!$B$28:$B$34,0))+INDEX(Assumptions!$C$22:$C$25,MATCH(R214,Assumptions!$B$22:$B$25,0)))/12</f>
        <v>4235.02743605459</v>
      </c>
      <c r="X214" s="21" t="n">
        <f aca="false">W214*12*$B$18/Assumptions!$C$18</f>
        <v>63525.4115408188</v>
      </c>
      <c r="Y214" s="21" t="n">
        <f aca="false">W214*12*$B$19/Assumptions!$C$18</f>
        <v>79406.7644260235</v>
      </c>
      <c r="Z214" s="21" t="n">
        <f aca="false">J214*(T214+Assumptions!$C$16)</f>
        <v>152250</v>
      </c>
      <c r="AA214" s="53" t="n">
        <f aca="false">IF(ISNUMBER(F214),F214,IF(H214&gt;=2000,4,3))</f>
        <v>3</v>
      </c>
      <c r="AB214" s="21" t="n">
        <f aca="false">IFERROR(INDEX($E$18:$H$25,MATCH(D214,$D$18:$D$25,0),1+IF(AA214&gt;=4,2,0)+IF(Q214="Y",1,0)),0)</f>
        <v>34000</v>
      </c>
      <c r="AC214" s="30" t="n">
        <f aca="false">IFERROR(AB214/X214,0)</f>
        <v>0.535218886038275</v>
      </c>
      <c r="AD214" s="4" t="str">
        <f aca="false">IF(ISNUMBER(SEARCH("Mobile",E214)),"EXCLUDED",IF(AB214&gt;=Y214,"PASS",IF(AB214&gt;=X214,"MARGINAL","FAIL")))</f>
        <v>FAIL</v>
      </c>
      <c r="AE214" s="26"/>
    </row>
    <row r="215" customFormat="false" ht="15" hidden="false" customHeight="false" outlineLevel="0" collapsed="false">
      <c r="A215" s="36" t="s">
        <v>914</v>
      </c>
      <c r="B215" s="36" t="s">
        <v>826</v>
      </c>
      <c r="C215" s="36" t="s">
        <v>82</v>
      </c>
      <c r="D215" s="36" t="s">
        <v>482</v>
      </c>
      <c r="E215" s="36" t="s">
        <v>506</v>
      </c>
      <c r="F215" s="36" t="n">
        <v>3</v>
      </c>
      <c r="G215" s="36" t="n">
        <v>2.5</v>
      </c>
      <c r="H215" s="55" t="n">
        <v>1796</v>
      </c>
      <c r="I215" s="34" t="n">
        <v>2024</v>
      </c>
      <c r="J215" s="37" t="n">
        <v>569000</v>
      </c>
      <c r="K215" s="34" t="n">
        <v>584</v>
      </c>
      <c r="L215" s="36" t="s">
        <v>604</v>
      </c>
      <c r="M215" s="37" t="n">
        <v>522400</v>
      </c>
      <c r="N215" s="37" t="n">
        <v>516103</v>
      </c>
      <c r="O215" s="36" t="s">
        <v>515</v>
      </c>
      <c r="P215" s="36" t="s">
        <v>154</v>
      </c>
      <c r="Q215" s="36" t="s">
        <v>154</v>
      </c>
      <c r="R215" s="36" t="s">
        <v>75</v>
      </c>
      <c r="S215" s="36" t="s">
        <v>633</v>
      </c>
      <c r="T215" s="39" t="n">
        <f aca="false">Assumptions!$C$15</f>
        <v>0.25</v>
      </c>
      <c r="U215" s="40" t="n">
        <f aca="false">J215*(1-T215)</f>
        <v>426750</v>
      </c>
      <c r="V215" s="41" t="n">
        <f aca="false">IF((1-T215)&gt;0.75,Assumptions!$C$11,IF((1-T215)&gt;0.7,Assumptions!$C$12,Assumptions!$C$13))</f>
        <v>0.0725</v>
      </c>
      <c r="W215" s="40" t="n">
        <f aca="false">PMT(V215/12,Assumptions!$C$14,-U215)+J215*INDEX(Assumptions!$C$28:$C$34,MATCH(C215,Assumptions!$B$28:$B$34,0))/12+(INDEX(Assumptions!$D$28:$D$34,MATCH(C215,Assumptions!$B$28:$B$34,0))+INDEX(Assumptions!$C$22:$C$25,MATCH(R215,Assumptions!$B$22:$B$25,0)))/12</f>
        <v>4301.3122751398</v>
      </c>
      <c r="X215" s="40" t="n">
        <f aca="false">W215*12*$B$18/Assumptions!$C$18</f>
        <v>64519.684127097</v>
      </c>
      <c r="Y215" s="40" t="n">
        <f aca="false">W215*12*$B$19/Assumptions!$C$18</f>
        <v>80649.6051588712</v>
      </c>
      <c r="Z215" s="40" t="n">
        <f aca="false">J215*(T215+Assumptions!$C$16)</f>
        <v>165010</v>
      </c>
      <c r="AA215" s="56" t="n">
        <f aca="false">IF(ISNUMBER(F215),F215,IF(H215&gt;=2000,4,3))</f>
        <v>3</v>
      </c>
      <c r="AB215" s="40" t="n">
        <f aca="false">IFERROR(INDEX($E$18:$H$25,MATCH(D215,$D$18:$D$25,0),1+IF(AA215&gt;=4,2,0)+IF(Q215="Y",1,0)),0)</f>
        <v>34000</v>
      </c>
      <c r="AC215" s="42" t="n">
        <f aca="false">IFERROR(AB215/X215,0)</f>
        <v>0.526970961807928</v>
      </c>
      <c r="AD215" s="57" t="str">
        <f aca="false">IF(ISNUMBER(SEARCH("Mobile",E215)),"EXCLUDED",IF(AB215&gt;=Y215,"PASS",IF(AB215&gt;=X215,"MARGINAL","FAIL")))</f>
        <v>FAIL</v>
      </c>
      <c r="AE215" s="35"/>
    </row>
    <row r="216" customFormat="false" ht="15" hidden="false" customHeight="false" outlineLevel="0" collapsed="false">
      <c r="A216" s="27" t="s">
        <v>915</v>
      </c>
      <c r="B216" s="27" t="s">
        <v>644</v>
      </c>
      <c r="C216" s="27" t="s">
        <v>80</v>
      </c>
      <c r="D216" s="27" t="s">
        <v>480</v>
      </c>
      <c r="E216" s="27" t="s">
        <v>506</v>
      </c>
      <c r="F216" s="27" t="n">
        <v>3</v>
      </c>
      <c r="G216" s="27" t="n">
        <v>2.5</v>
      </c>
      <c r="H216" s="52" t="n">
        <v>1896</v>
      </c>
      <c r="I216" s="13" t="n">
        <v>2023</v>
      </c>
      <c r="J216" s="19" t="n">
        <v>629900</v>
      </c>
      <c r="K216" s="13" t="n">
        <v>52</v>
      </c>
      <c r="L216" s="27" t="s">
        <v>916</v>
      </c>
      <c r="M216" s="19" t="n">
        <v>540088</v>
      </c>
      <c r="N216" s="19" t="n">
        <v>261147</v>
      </c>
      <c r="O216" s="27" t="s">
        <v>463</v>
      </c>
      <c r="P216" s="27" t="s">
        <v>154</v>
      </c>
      <c r="Q216" s="27" t="s">
        <v>154</v>
      </c>
      <c r="R216" s="27" t="s">
        <v>75</v>
      </c>
      <c r="S216" s="27" t="s">
        <v>597</v>
      </c>
      <c r="T216" s="28" t="n">
        <f aca="false">Assumptions!$C$15</f>
        <v>0.25</v>
      </c>
      <c r="U216" s="21" t="n">
        <f aca="false">J216*(1-T216)</f>
        <v>472425</v>
      </c>
      <c r="V216" s="29" t="n">
        <f aca="false">IF((1-T216)&gt;0.75,Assumptions!$C$11,IF((1-T216)&gt;0.7,Assumptions!$C$12,Assumptions!$C$13))</f>
        <v>0.0725</v>
      </c>
      <c r="W216" s="21" t="n">
        <f aca="false">PMT(V216/12,Assumptions!$C$14,-U216)+J216*INDEX(Assumptions!$C$28:$C$34,MATCH(C216,Assumptions!$B$28:$B$34,0))/12+(INDEX(Assumptions!$D$28:$D$34,MATCH(C216,Assumptions!$B$28:$B$34,0))+INDEX(Assumptions!$C$22:$C$25,MATCH(R216,Assumptions!$B$22:$B$25,0)))/12</f>
        <v>4760.14629105546</v>
      </c>
      <c r="X216" s="21" t="n">
        <f aca="false">W216*12*$B$18/Assumptions!$C$18</f>
        <v>71402.194365832</v>
      </c>
      <c r="Y216" s="21" t="n">
        <f aca="false">W216*12*$B$19/Assumptions!$C$18</f>
        <v>89252.7429572899</v>
      </c>
      <c r="Z216" s="21" t="n">
        <f aca="false">J216*(T216+Assumptions!$C$16)</f>
        <v>182671</v>
      </c>
      <c r="AA216" s="53" t="n">
        <f aca="false">IF(ISNUMBER(F216),F216,IF(H216&gt;=2000,4,3))</f>
        <v>3</v>
      </c>
      <c r="AB216" s="21" t="n">
        <f aca="false">IFERROR(INDEX($E$18:$H$25,MATCH(D216,$D$18:$D$25,0),1+IF(AA216&gt;=4,2,0)+IF(Q216="Y",1,0)),0)</f>
        <v>36000</v>
      </c>
      <c r="AC216" s="30" t="n">
        <f aca="false">IFERROR(AB216/X216,0)</f>
        <v>0.504186185308992</v>
      </c>
      <c r="AD216" s="4" t="str">
        <f aca="false">IF(ISNUMBER(SEARCH("Mobile",E216)),"EXCLUDED",IF(AB216&gt;=Y216,"PASS",IF(AB216&gt;=X216,"MARGINAL","FAIL")))</f>
        <v>FAIL</v>
      </c>
      <c r="AE216" s="26"/>
    </row>
    <row r="217" customFormat="false" ht="15" hidden="false" customHeight="false" outlineLevel="0" collapsed="false">
      <c r="A217" s="36" t="s">
        <v>917</v>
      </c>
      <c r="B217" s="36" t="s">
        <v>231</v>
      </c>
      <c r="C217" s="36" t="s">
        <v>82</v>
      </c>
      <c r="D217" s="36" t="s">
        <v>482</v>
      </c>
      <c r="E217" s="36" t="s">
        <v>749</v>
      </c>
      <c r="F217" s="36" t="n">
        <v>3</v>
      </c>
      <c r="G217" s="36" t="n">
        <v>3</v>
      </c>
      <c r="H217" s="55" t="n">
        <v>1745</v>
      </c>
      <c r="I217" s="34" t="n">
        <v>2022</v>
      </c>
      <c r="J217" s="37" t="n">
        <v>635000</v>
      </c>
      <c r="K217" s="34" t="n">
        <v>54</v>
      </c>
      <c r="L217" s="36"/>
      <c r="M217" s="37"/>
      <c r="N217" s="37" t="n">
        <v>662282</v>
      </c>
      <c r="O217" s="36" t="s">
        <v>448</v>
      </c>
      <c r="P217" s="36" t="s">
        <v>154</v>
      </c>
      <c r="Q217" s="36" t="s">
        <v>154</v>
      </c>
      <c r="R217" s="36" t="s">
        <v>75</v>
      </c>
      <c r="S217" s="36" t="s">
        <v>633</v>
      </c>
      <c r="T217" s="39" t="n">
        <f aca="false">Assumptions!$C$15</f>
        <v>0.25</v>
      </c>
      <c r="U217" s="40" t="n">
        <f aca="false">J217*(1-T217)</f>
        <v>476250</v>
      </c>
      <c r="V217" s="41" t="n">
        <f aca="false">IF((1-T217)&gt;0.75,Assumptions!$C$11,IF((1-T217)&gt;0.7,Assumptions!$C$12,Assumptions!$C$13))</f>
        <v>0.0725</v>
      </c>
      <c r="W217" s="40" t="n">
        <f aca="false">PMT(V217/12,Assumptions!$C$14,-U217)+J217*INDEX(Assumptions!$C$28:$C$34,MATCH(C217,Assumptions!$B$28:$B$34,0))/12+(INDEX(Assumptions!$D$28:$D$34,MATCH(C217,Assumptions!$B$28:$B$34,0))+INDEX(Assumptions!$C$22:$C$25,MATCH(R217,Assumptions!$B$22:$B$25,0)))/12</f>
        <v>4713.23953376761</v>
      </c>
      <c r="X217" s="40" t="n">
        <f aca="false">W217*12*$B$18/Assumptions!$C$18</f>
        <v>70698.5930065142</v>
      </c>
      <c r="Y217" s="40" t="n">
        <f aca="false">W217*12*$B$19/Assumptions!$C$18</f>
        <v>88373.2412581428</v>
      </c>
      <c r="Z217" s="40" t="n">
        <f aca="false">J217*(T217+Assumptions!$C$16)</f>
        <v>184150</v>
      </c>
      <c r="AA217" s="56" t="n">
        <f aca="false">IF(ISNUMBER(F217),F217,IF(H217&gt;=2000,4,3))</f>
        <v>3</v>
      </c>
      <c r="AB217" s="40" t="n">
        <f aca="false">IFERROR(INDEX($E$18:$H$25,MATCH(D217,$D$18:$D$25,0),1+IF(AA217&gt;=4,2,0)+IF(Q217="Y",1,0)),0)</f>
        <v>34000</v>
      </c>
      <c r="AC217" s="42" t="n">
        <f aca="false">IFERROR(AB217/X217,0)</f>
        <v>0.480914804016923</v>
      </c>
      <c r="AD217" s="57" t="str">
        <f aca="false">IF(ISNUMBER(SEARCH("Mobile",E217)),"EXCLUDED",IF(AB217&gt;=Y217,"PASS",IF(AB217&gt;=X217,"MARGINAL","FAIL")))</f>
        <v>FAIL</v>
      </c>
      <c r="AE217" s="35"/>
    </row>
    <row r="218" customFormat="false" ht="15" hidden="false" customHeight="false" outlineLevel="0" collapsed="false">
      <c r="A218" s="27" t="s">
        <v>918</v>
      </c>
      <c r="B218" s="27" t="s">
        <v>676</v>
      </c>
      <c r="C218" s="27" t="s">
        <v>82</v>
      </c>
      <c r="D218" s="27" t="s">
        <v>482</v>
      </c>
      <c r="E218" s="27" t="s">
        <v>506</v>
      </c>
      <c r="F218" s="27" t="n">
        <v>3</v>
      </c>
      <c r="G218" s="27" t="n">
        <v>3</v>
      </c>
      <c r="H218" s="52" t="n">
        <v>2066</v>
      </c>
      <c r="I218" s="13" t="n">
        <v>2024</v>
      </c>
      <c r="J218" s="19" t="n">
        <v>649000</v>
      </c>
      <c r="K218" s="13" t="n">
        <v>74</v>
      </c>
      <c r="L218" s="27" t="s">
        <v>919</v>
      </c>
      <c r="M218" s="19" t="n">
        <v>65000</v>
      </c>
      <c r="N218" s="19" t="n">
        <v>220425</v>
      </c>
      <c r="O218" s="27" t="s">
        <v>448</v>
      </c>
      <c r="P218" s="27" t="s">
        <v>154</v>
      </c>
      <c r="Q218" s="27" t="s">
        <v>154</v>
      </c>
      <c r="R218" s="27" t="s">
        <v>69</v>
      </c>
      <c r="S218" s="27" t="s">
        <v>633</v>
      </c>
      <c r="T218" s="28" t="n">
        <f aca="false">Assumptions!$C$15</f>
        <v>0.25</v>
      </c>
      <c r="U218" s="21" t="n">
        <f aca="false">J218*(1-T218)</f>
        <v>486750</v>
      </c>
      <c r="V218" s="29" t="n">
        <f aca="false">IF((1-T218)&gt;0.75,Assumptions!$C$11,IF((1-T218)&gt;0.7,Assumptions!$C$12,Assumptions!$C$13))</f>
        <v>0.0725</v>
      </c>
      <c r="W218" s="21" t="n">
        <f aca="false">PMT(V218/12,Assumptions!$C$14,-U218)+J218*INDEX(Assumptions!$C$28:$C$34,MATCH(C218,Assumptions!$B$28:$B$34,0))/12+(INDEX(Assumptions!$D$28:$D$34,MATCH(C218,Assumptions!$B$28:$B$34,0))+INDEX(Assumptions!$C$22:$C$25,MATCH(R218,Assumptions!$B$22:$B$25,0)))/12</f>
        <v>4717.28470984018</v>
      </c>
      <c r="X218" s="21" t="n">
        <f aca="false">W218*12*$B$18/Assumptions!$C$18</f>
        <v>70759.2706476027</v>
      </c>
      <c r="Y218" s="21" t="n">
        <f aca="false">W218*12*$B$19/Assumptions!$C$18</f>
        <v>88449.0883095034</v>
      </c>
      <c r="Z218" s="21" t="n">
        <f aca="false">J218*(T218+Assumptions!$C$16)</f>
        <v>188210</v>
      </c>
      <c r="AA218" s="53" t="n">
        <f aca="false">IF(ISNUMBER(F218),F218,IF(H218&gt;=2000,4,3))</f>
        <v>3</v>
      </c>
      <c r="AB218" s="21" t="n">
        <f aca="false">IFERROR(INDEX($E$18:$H$25,MATCH(D218,$D$18:$D$25,0),1+IF(AA218&gt;=4,2,0)+IF(Q218="Y",1,0)),0)</f>
        <v>34000</v>
      </c>
      <c r="AC218" s="30" t="n">
        <f aca="false">IFERROR(AB218/X218,0)</f>
        <v>0.480502408925719</v>
      </c>
      <c r="AD218" s="4" t="str">
        <f aca="false">IF(ISNUMBER(SEARCH("Mobile",E218)),"EXCLUDED",IF(AB218&gt;=Y218,"PASS",IF(AB218&gt;=X218,"MARGINAL","FAIL")))</f>
        <v>FAIL</v>
      </c>
      <c r="AE218" s="26"/>
    </row>
    <row r="219" customFormat="false" ht="15" hidden="false" customHeight="false" outlineLevel="0" collapsed="false">
      <c r="A219" s="36" t="s">
        <v>920</v>
      </c>
      <c r="B219" s="36" t="s">
        <v>813</v>
      </c>
      <c r="C219" s="36" t="s">
        <v>82</v>
      </c>
      <c r="D219" s="36" t="s">
        <v>482</v>
      </c>
      <c r="E219" s="36" t="s">
        <v>506</v>
      </c>
      <c r="F219" s="36" t="n">
        <v>3</v>
      </c>
      <c r="G219" s="36" t="n">
        <v>3</v>
      </c>
      <c r="H219" s="55" t="n">
        <v>2147</v>
      </c>
      <c r="I219" s="34" t="n">
        <v>2023</v>
      </c>
      <c r="J219" s="37" t="n">
        <v>643647</v>
      </c>
      <c r="K219" s="34" t="n">
        <v>1207</v>
      </c>
      <c r="L219" s="36" t="s">
        <v>921</v>
      </c>
      <c r="M219" s="37" t="n">
        <v>35757</v>
      </c>
      <c r="N219" s="37" t="n">
        <v>491451</v>
      </c>
      <c r="O219" s="36" t="s">
        <v>453</v>
      </c>
      <c r="P219" s="36" t="s">
        <v>154</v>
      </c>
      <c r="Q219" s="36" t="s">
        <v>154</v>
      </c>
      <c r="R219" s="36" t="s">
        <v>75</v>
      </c>
      <c r="S219" s="36" t="s">
        <v>633</v>
      </c>
      <c r="T219" s="39" t="n">
        <f aca="false">Assumptions!$C$15</f>
        <v>0.25</v>
      </c>
      <c r="U219" s="40" t="n">
        <f aca="false">J219*(1-T219)</f>
        <v>482735.25</v>
      </c>
      <c r="V219" s="41" t="n">
        <f aca="false">IF((1-T219)&gt;0.75,Assumptions!$C$11,IF((1-T219)&gt;0.7,Assumptions!$C$12,Assumptions!$C$13))</f>
        <v>0.0725</v>
      </c>
      <c r="W219" s="40" t="n">
        <f aca="false">PMT(V219/12,Assumptions!$C$14,-U219)+J219*INDEX(Assumptions!$C$28:$C$34,MATCH(C219,Assumptions!$B$28:$B$34,0))/12+(INDEX(Assumptions!$D$28:$D$34,MATCH(C219,Assumptions!$B$28:$B$34,0))+INDEX(Assumptions!$C$22:$C$25,MATCH(R219,Assumptions!$B$22:$B$25,0)))/12</f>
        <v>4767.20824596996</v>
      </c>
      <c r="X219" s="40" t="n">
        <f aca="false">W219*12*$B$18/Assumptions!$C$18</f>
        <v>71508.1236895494</v>
      </c>
      <c r="Y219" s="40" t="n">
        <f aca="false">W219*12*$B$19/Assumptions!$C$18</f>
        <v>89385.1546119367</v>
      </c>
      <c r="Z219" s="40" t="n">
        <f aca="false">J219*(T219+Assumptions!$C$16)</f>
        <v>186657.63</v>
      </c>
      <c r="AA219" s="56" t="n">
        <f aca="false">IF(ISNUMBER(F219),F219,IF(H219&gt;=2000,4,3))</f>
        <v>3</v>
      </c>
      <c r="AB219" s="40" t="n">
        <f aca="false">IFERROR(INDEX($E$18:$H$25,MATCH(D219,$D$18:$D$25,0),1+IF(AA219&gt;=4,2,0)+IF(Q219="Y",1,0)),0)</f>
        <v>34000</v>
      </c>
      <c r="AC219" s="42" t="n">
        <f aca="false">IFERROR(AB219/X219,0)</f>
        <v>0.475470453505536</v>
      </c>
      <c r="AD219" s="57" t="str">
        <f aca="false">IF(ISNUMBER(SEARCH("Mobile",E219)),"EXCLUDED",IF(AB219&gt;=Y219,"PASS",IF(AB219&gt;=X219,"MARGINAL","FAIL")))</f>
        <v>FAIL</v>
      </c>
      <c r="AE219" s="35"/>
    </row>
    <row r="220" customFormat="false" ht="15" hidden="false" customHeight="false" outlineLevel="0" collapsed="false">
      <c r="A220" s="27" t="s">
        <v>922</v>
      </c>
      <c r="B220" s="27" t="s">
        <v>813</v>
      </c>
      <c r="C220" s="27" t="s">
        <v>82</v>
      </c>
      <c r="D220" s="27" t="s">
        <v>482</v>
      </c>
      <c r="E220" s="27" t="s">
        <v>506</v>
      </c>
      <c r="F220" s="27" t="n">
        <v>3</v>
      </c>
      <c r="G220" s="27" t="n">
        <v>2</v>
      </c>
      <c r="H220" s="52" t="n">
        <v>1777</v>
      </c>
      <c r="I220" s="13" t="n">
        <v>1972</v>
      </c>
      <c r="J220" s="19" t="n">
        <v>625000</v>
      </c>
      <c r="K220" s="13" t="n">
        <v>364</v>
      </c>
      <c r="L220" s="27" t="s">
        <v>923</v>
      </c>
      <c r="M220" s="19" t="n">
        <v>399900</v>
      </c>
      <c r="N220" s="19" t="n">
        <v>624860</v>
      </c>
      <c r="O220" s="27" t="s">
        <v>453</v>
      </c>
      <c r="P220" s="27" t="s">
        <v>154</v>
      </c>
      <c r="Q220" s="27" t="s">
        <v>154</v>
      </c>
      <c r="R220" s="27" t="s">
        <v>71</v>
      </c>
      <c r="S220" s="27" t="s">
        <v>633</v>
      </c>
      <c r="T220" s="28" t="n">
        <f aca="false">Assumptions!$C$15</f>
        <v>0.25</v>
      </c>
      <c r="U220" s="21" t="n">
        <f aca="false">J220*(1-T220)</f>
        <v>468750</v>
      </c>
      <c r="V220" s="29" t="n">
        <f aca="false">IF((1-T220)&gt;0.75,Assumptions!$C$11,IF((1-T220)&gt;0.7,Assumptions!$C$12,Assumptions!$C$13))</f>
        <v>0.0725</v>
      </c>
      <c r="W220" s="21" t="n">
        <f aca="false">PMT(V220/12,Assumptions!$C$14,-U220)+J220*INDEX(Assumptions!$C$28:$C$34,MATCH(C220,Assumptions!$B$28:$B$34,0))/12+(INDEX(Assumptions!$D$28:$D$34,MATCH(C220,Assumptions!$B$28:$B$34,0))+INDEX(Assumptions!$C$22:$C$25,MATCH(R220,Assumptions!$B$22:$B$25,0)))/12</f>
        <v>4859.15964609673</v>
      </c>
      <c r="X220" s="21" t="n">
        <f aca="false">W220*12*$B$18/Assumptions!$C$18</f>
        <v>72887.394691451</v>
      </c>
      <c r="Y220" s="21" t="n">
        <f aca="false">W220*12*$B$19/Assumptions!$C$18</f>
        <v>91109.2433643137</v>
      </c>
      <c r="Z220" s="21" t="n">
        <f aca="false">J220*(T220+Assumptions!$C$16)</f>
        <v>181250</v>
      </c>
      <c r="AA220" s="53" t="n">
        <f aca="false">IF(ISNUMBER(F220),F220,IF(H220&gt;=2000,4,3))</f>
        <v>3</v>
      </c>
      <c r="AB220" s="21" t="n">
        <f aca="false">IFERROR(INDEX($E$18:$H$25,MATCH(D220,$D$18:$D$25,0),1+IF(AA220&gt;=4,2,0)+IF(Q220="Y",1,0)),0)</f>
        <v>34000</v>
      </c>
      <c r="AC220" s="30" t="n">
        <f aca="false">IFERROR(AB220/X220,0)</f>
        <v>0.466472977171564</v>
      </c>
      <c r="AD220" s="4" t="str">
        <f aca="false">IF(ISNUMBER(SEARCH("Mobile",E220)),"EXCLUDED",IF(AB220&gt;=Y220,"PASS",IF(AB220&gt;=X220,"MARGINAL","FAIL")))</f>
        <v>FAIL</v>
      </c>
      <c r="AE220" s="26"/>
    </row>
  </sheetData>
  <autoFilter ref="A27:AE220"/>
  <mergeCells count="14">
    <mergeCell ref="B3:P3"/>
    <mergeCell ref="B4:P4"/>
    <mergeCell ref="B5:P5"/>
    <mergeCell ref="B6:P6"/>
    <mergeCell ref="B7:P7"/>
    <mergeCell ref="B8:P8"/>
    <mergeCell ref="M10:AE10"/>
    <mergeCell ref="M11:AE11"/>
    <mergeCell ref="M12:AE12"/>
    <mergeCell ref="M13:AE13"/>
    <mergeCell ref="M14:AE14"/>
    <mergeCell ref="M15:AE15"/>
    <mergeCell ref="I17:P17"/>
    <mergeCell ref="I18:P25"/>
  </mergeCells>
  <dataValidations count="3">
    <dataValidation allowBlank="false" errorStyle="stop" operator="between" showDropDown="false" showErrorMessage="false" showInputMessage="false" sqref="R28:R220" type="list">
      <formula1>Assumptions!$B$22:$B$25</formula1>
      <formula2>0</formula2>
    </dataValidation>
    <dataValidation allowBlank="false" errorStyle="stop" operator="between" showDropDown="false" showErrorMessage="false" showInputMessage="false" sqref="Q28:Q220" type="list">
      <formula1>"Y,N"</formula1>
      <formula2>0</formula2>
    </dataValidation>
    <dataValidation allowBlank="false" errorStyle="stop" operator="between" showDropDown="false" showErrorMessage="false" showInputMessage="false" sqref="D28:D220" type="list">
      <formula1>$D$18:$D$25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4"/>
    <col collapsed="false" customWidth="true" hidden="false" outlineLevel="0" max="8" min="8" style="0" width="38"/>
    <col collapsed="false" customWidth="true" hidden="false" outlineLevel="0" max="9" min="9" style="0" width="40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" t="s">
        <v>924</v>
      </c>
    </row>
    <row r="2" customFormat="false" ht="15" hidden="false" customHeight="false" outlineLevel="0" collapsed="false">
      <c r="A2" s="2" t="s">
        <v>925</v>
      </c>
    </row>
    <row r="4" customFormat="false" ht="31.5" hidden="false" customHeight="true" outlineLevel="0" collapsed="false">
      <c r="A4" s="3" t="s">
        <v>112</v>
      </c>
      <c r="B4" s="3" t="s">
        <v>926</v>
      </c>
      <c r="C4" s="3" t="s">
        <v>927</v>
      </c>
      <c r="D4" s="3" t="s">
        <v>928</v>
      </c>
      <c r="E4" s="3" t="s">
        <v>929</v>
      </c>
      <c r="F4" s="3" t="s">
        <v>930</v>
      </c>
      <c r="G4" s="3" t="s">
        <v>931</v>
      </c>
      <c r="H4" s="3" t="s">
        <v>932</v>
      </c>
      <c r="I4" s="3" t="s">
        <v>933</v>
      </c>
      <c r="J4" s="3" t="s">
        <v>13</v>
      </c>
    </row>
    <row r="5" customFormat="false" ht="35.05" hidden="false" customHeight="false" outlineLevel="0" collapsed="false">
      <c r="A5" s="26" t="n">
        <v>1</v>
      </c>
      <c r="B5" s="9" t="s">
        <v>934</v>
      </c>
      <c r="C5" s="9" t="s">
        <v>935</v>
      </c>
      <c r="D5" s="9" t="s">
        <v>936</v>
      </c>
      <c r="E5" s="9" t="s">
        <v>937</v>
      </c>
      <c r="F5" s="9" t="s">
        <v>938</v>
      </c>
      <c r="G5" s="9" t="s">
        <v>939</v>
      </c>
      <c r="H5" s="9" t="s">
        <v>940</v>
      </c>
      <c r="I5" s="9" t="s">
        <v>941</v>
      </c>
      <c r="J5" s="9" t="s">
        <v>942</v>
      </c>
    </row>
    <row r="6" customFormat="false" ht="35.05" hidden="false" customHeight="false" outlineLevel="0" collapsed="false">
      <c r="A6" s="35" t="n">
        <v>2</v>
      </c>
      <c r="B6" s="58" t="s">
        <v>943</v>
      </c>
      <c r="C6" s="58" t="s">
        <v>944</v>
      </c>
      <c r="D6" s="58" t="s">
        <v>945</v>
      </c>
      <c r="E6" s="58" t="s">
        <v>946</v>
      </c>
      <c r="F6" s="58" t="s">
        <v>938</v>
      </c>
      <c r="G6" s="58" t="s">
        <v>947</v>
      </c>
      <c r="H6" s="58" t="s">
        <v>948</v>
      </c>
      <c r="I6" s="58" t="s">
        <v>949</v>
      </c>
      <c r="J6" s="58" t="s">
        <v>950</v>
      </c>
    </row>
    <row r="7" customFormat="false" ht="35.05" hidden="false" customHeight="false" outlineLevel="0" collapsed="false">
      <c r="A7" s="9" t="s">
        <v>951</v>
      </c>
      <c r="B7" s="9" t="s">
        <v>952</v>
      </c>
      <c r="C7" s="9" t="s">
        <v>953</v>
      </c>
      <c r="D7" s="9" t="s">
        <v>954</v>
      </c>
      <c r="E7" s="9" t="s">
        <v>955</v>
      </c>
      <c r="F7" s="9" t="s">
        <v>956</v>
      </c>
      <c r="G7" s="9" t="s">
        <v>957</v>
      </c>
      <c r="H7" s="9" t="s">
        <v>958</v>
      </c>
      <c r="I7" s="9" t="s">
        <v>959</v>
      </c>
      <c r="J7" s="9" t="s">
        <v>960</v>
      </c>
    </row>
    <row r="8" customFormat="false" ht="46.25" hidden="false" customHeight="false" outlineLevel="0" collapsed="false">
      <c r="A8" s="58" t="s">
        <v>961</v>
      </c>
      <c r="B8" s="58" t="s">
        <v>962</v>
      </c>
      <c r="C8" s="58" t="s">
        <v>420</v>
      </c>
      <c r="D8" s="58" t="s">
        <v>420</v>
      </c>
      <c r="E8" s="58" t="s">
        <v>420</v>
      </c>
      <c r="F8" s="58" t="s">
        <v>420</v>
      </c>
      <c r="G8" s="58" t="s">
        <v>963</v>
      </c>
      <c r="H8" s="58" t="s">
        <v>420</v>
      </c>
      <c r="I8" s="58" t="s">
        <v>964</v>
      </c>
      <c r="J8" s="58" t="s">
        <v>965</v>
      </c>
    </row>
    <row r="9" customFormat="false" ht="35.05" hidden="false" customHeight="false" outlineLevel="0" collapsed="false">
      <c r="A9" s="26" t="n">
        <v>3</v>
      </c>
      <c r="B9" s="9" t="s">
        <v>966</v>
      </c>
      <c r="C9" s="9" t="s">
        <v>967</v>
      </c>
      <c r="D9" s="9" t="s">
        <v>968</v>
      </c>
      <c r="E9" s="9" t="s">
        <v>969</v>
      </c>
      <c r="F9" s="9" t="s">
        <v>970</v>
      </c>
      <c r="G9" s="9" t="s">
        <v>971</v>
      </c>
      <c r="H9" s="9" t="s">
        <v>972</v>
      </c>
      <c r="I9" s="9" t="s">
        <v>973</v>
      </c>
      <c r="J9" s="9" t="s">
        <v>974</v>
      </c>
    </row>
    <row r="10" customFormat="false" ht="35.05" hidden="false" customHeight="false" outlineLevel="0" collapsed="false">
      <c r="A10" s="58" t="s">
        <v>975</v>
      </c>
      <c r="B10" s="58" t="s">
        <v>976</v>
      </c>
      <c r="C10" s="58" t="s">
        <v>977</v>
      </c>
      <c r="D10" s="58" t="s">
        <v>978</v>
      </c>
      <c r="E10" s="58" t="s">
        <v>979</v>
      </c>
      <c r="F10" s="58" t="s">
        <v>980</v>
      </c>
      <c r="G10" s="58" t="s">
        <v>981</v>
      </c>
      <c r="H10" s="58" t="s">
        <v>982</v>
      </c>
      <c r="I10" s="58" t="s">
        <v>983</v>
      </c>
      <c r="J10" s="58" t="s">
        <v>984</v>
      </c>
    </row>
    <row r="11" customFormat="false" ht="35.05" hidden="false" customHeight="false" outlineLevel="0" collapsed="false">
      <c r="A11" s="26" t="n">
        <v>4</v>
      </c>
      <c r="B11" s="9" t="s">
        <v>985</v>
      </c>
      <c r="C11" s="9" t="s">
        <v>986</v>
      </c>
      <c r="D11" s="9" t="s">
        <v>987</v>
      </c>
      <c r="E11" s="9" t="s">
        <v>988</v>
      </c>
      <c r="F11" s="9" t="s">
        <v>989</v>
      </c>
      <c r="G11" s="9" t="s">
        <v>990</v>
      </c>
      <c r="H11" s="9" t="s">
        <v>991</v>
      </c>
      <c r="I11" s="9" t="s">
        <v>992</v>
      </c>
      <c r="J11" s="9" t="s">
        <v>993</v>
      </c>
    </row>
    <row r="12" customFormat="false" ht="23.85" hidden="false" customHeight="false" outlineLevel="0" collapsed="false">
      <c r="A12" s="35" t="n">
        <v>5</v>
      </c>
      <c r="B12" s="58" t="s">
        <v>994</v>
      </c>
      <c r="C12" s="58" t="s">
        <v>995</v>
      </c>
      <c r="D12" s="58" t="s">
        <v>996</v>
      </c>
      <c r="E12" s="58" t="s">
        <v>997</v>
      </c>
      <c r="F12" s="58" t="s">
        <v>998</v>
      </c>
      <c r="G12" s="58" t="s">
        <v>999</v>
      </c>
      <c r="H12" s="58" t="s">
        <v>1000</v>
      </c>
      <c r="I12" s="58" t="s">
        <v>1001</v>
      </c>
      <c r="J12" s="58" t="s">
        <v>1002</v>
      </c>
    </row>
    <row r="13" customFormat="false" ht="23.85" hidden="false" customHeight="false" outlineLevel="0" collapsed="false">
      <c r="A13" s="26" t="n">
        <v>6</v>
      </c>
      <c r="B13" s="9" t="s">
        <v>1003</v>
      </c>
      <c r="C13" s="9" t="s">
        <v>1004</v>
      </c>
      <c r="D13" s="9" t="s">
        <v>1005</v>
      </c>
      <c r="E13" s="9" t="s">
        <v>1006</v>
      </c>
      <c r="F13" s="9" t="s">
        <v>1007</v>
      </c>
      <c r="G13" s="9" t="s">
        <v>1008</v>
      </c>
      <c r="H13" s="9" t="s">
        <v>1009</v>
      </c>
      <c r="I13" s="9" t="s">
        <v>1010</v>
      </c>
      <c r="J13" s="9" t="s">
        <v>1011</v>
      </c>
    </row>
    <row r="14" customFormat="false" ht="15" hidden="false" customHeight="false" outlineLevel="0" collapsed="false">
      <c r="A14" s="35" t="n">
        <v>7</v>
      </c>
      <c r="B14" s="58" t="s">
        <v>1012</v>
      </c>
      <c r="C14" s="58" t="s">
        <v>986</v>
      </c>
      <c r="D14" s="58" t="s">
        <v>1013</v>
      </c>
      <c r="E14" s="58" t="s">
        <v>1014</v>
      </c>
      <c r="F14" s="58" t="s">
        <v>1015</v>
      </c>
      <c r="G14" s="58" t="s">
        <v>1016</v>
      </c>
      <c r="H14" s="58" t="s">
        <v>420</v>
      </c>
      <c r="I14" s="58" t="s">
        <v>1017</v>
      </c>
      <c r="J14" s="58" t="s">
        <v>1018</v>
      </c>
    </row>
    <row r="15" customFormat="false" ht="35.05" hidden="false" customHeight="false" outlineLevel="0" collapsed="false">
      <c r="A15" s="26" t="n">
        <v>8</v>
      </c>
      <c r="B15" s="9" t="s">
        <v>1019</v>
      </c>
      <c r="C15" s="9" t="s">
        <v>1020</v>
      </c>
      <c r="D15" s="9" t="s">
        <v>1021</v>
      </c>
      <c r="E15" s="9" t="s">
        <v>1022</v>
      </c>
      <c r="F15" s="9" t="s">
        <v>1023</v>
      </c>
      <c r="G15" s="9" t="s">
        <v>1024</v>
      </c>
      <c r="H15" s="9" t="s">
        <v>1025</v>
      </c>
      <c r="I15" s="9" t="s">
        <v>1026</v>
      </c>
      <c r="J15" s="9" t="s">
        <v>1018</v>
      </c>
    </row>
    <row r="16" customFormat="false" ht="23.85" hidden="false" customHeight="false" outlineLevel="0" collapsed="false">
      <c r="A16" s="35" t="n">
        <v>9</v>
      </c>
      <c r="B16" s="58" t="s">
        <v>1027</v>
      </c>
      <c r="C16" s="58" t="s">
        <v>1028</v>
      </c>
      <c r="D16" s="58" t="s">
        <v>1029</v>
      </c>
      <c r="E16" s="58" t="s">
        <v>1030</v>
      </c>
      <c r="F16" s="58" t="s">
        <v>1031</v>
      </c>
      <c r="G16" s="58" t="s">
        <v>1032</v>
      </c>
      <c r="H16" s="58" t="s">
        <v>420</v>
      </c>
      <c r="I16" s="58" t="s">
        <v>1033</v>
      </c>
      <c r="J16" s="58" t="s">
        <v>1034</v>
      </c>
    </row>
    <row r="17" customFormat="false" ht="23.85" hidden="false" customHeight="false" outlineLevel="0" collapsed="false">
      <c r="A17" s="26" t="n">
        <v>10</v>
      </c>
      <c r="B17" s="9" t="s">
        <v>1035</v>
      </c>
      <c r="C17" s="9" t="s">
        <v>1036</v>
      </c>
      <c r="D17" s="9" t="s">
        <v>1005</v>
      </c>
      <c r="E17" s="9" t="s">
        <v>1037</v>
      </c>
      <c r="F17" s="9" t="s">
        <v>1038</v>
      </c>
      <c r="G17" s="9" t="s">
        <v>1039</v>
      </c>
      <c r="H17" s="9" t="s">
        <v>420</v>
      </c>
      <c r="I17" s="9" t="s">
        <v>1040</v>
      </c>
      <c r="J17" s="9" t="s">
        <v>1034</v>
      </c>
    </row>
    <row r="18" customFormat="false" ht="23.85" hidden="false" customHeight="false" outlineLevel="0" collapsed="false">
      <c r="A18" s="35" t="n">
        <v>11</v>
      </c>
      <c r="B18" s="58" t="s">
        <v>1041</v>
      </c>
      <c r="C18" s="58" t="s">
        <v>1042</v>
      </c>
      <c r="D18" s="58" t="s">
        <v>1021</v>
      </c>
      <c r="E18" s="58" t="s">
        <v>1043</v>
      </c>
      <c r="F18" s="58" t="s">
        <v>1044</v>
      </c>
      <c r="G18" s="58" t="s">
        <v>1045</v>
      </c>
      <c r="H18" s="58" t="s">
        <v>420</v>
      </c>
      <c r="I18" s="58" t="s">
        <v>1046</v>
      </c>
      <c r="J18" s="58" t="s">
        <v>1034</v>
      </c>
    </row>
    <row r="19" customFormat="false" ht="23.85" hidden="false" customHeight="false" outlineLevel="0" collapsed="false">
      <c r="A19" s="26" t="n">
        <v>12</v>
      </c>
      <c r="B19" s="9" t="s">
        <v>1047</v>
      </c>
      <c r="C19" s="9" t="s">
        <v>1048</v>
      </c>
      <c r="D19" s="9" t="s">
        <v>1049</v>
      </c>
      <c r="E19" s="9" t="s">
        <v>1050</v>
      </c>
      <c r="F19" s="9" t="s">
        <v>1051</v>
      </c>
      <c r="G19" s="9" t="s">
        <v>1052</v>
      </c>
      <c r="H19" s="9" t="s">
        <v>420</v>
      </c>
      <c r="I19" s="9" t="s">
        <v>1053</v>
      </c>
      <c r="J19" s="9" t="s">
        <v>1034</v>
      </c>
    </row>
    <row r="20" customFormat="false" ht="23.85" hidden="false" customHeight="false" outlineLevel="0" collapsed="false">
      <c r="A20" s="35" t="n">
        <v>13</v>
      </c>
      <c r="B20" s="58" t="s">
        <v>1054</v>
      </c>
      <c r="C20" s="58" t="s">
        <v>1055</v>
      </c>
      <c r="D20" s="58" t="s">
        <v>1056</v>
      </c>
      <c r="E20" s="58" t="s">
        <v>1057</v>
      </c>
      <c r="F20" s="58" t="s">
        <v>1058</v>
      </c>
      <c r="G20" s="58" t="s">
        <v>1059</v>
      </c>
      <c r="H20" s="58" t="s">
        <v>420</v>
      </c>
      <c r="I20" s="58" t="s">
        <v>1060</v>
      </c>
      <c r="J20" s="58" t="s">
        <v>1034</v>
      </c>
    </row>
    <row r="21" customFormat="false" ht="23.85" hidden="false" customHeight="false" outlineLevel="0" collapsed="false">
      <c r="A21" s="9" t="s">
        <v>420</v>
      </c>
      <c r="B21" s="9" t="s">
        <v>1061</v>
      </c>
      <c r="C21" s="9" t="s">
        <v>1062</v>
      </c>
      <c r="D21" s="9" t="s">
        <v>420</v>
      </c>
      <c r="E21" s="9" t="s">
        <v>420</v>
      </c>
      <c r="F21" s="9" t="s">
        <v>1063</v>
      </c>
      <c r="G21" s="9" t="s">
        <v>1064</v>
      </c>
      <c r="H21" s="9" t="s">
        <v>420</v>
      </c>
      <c r="I21" s="9" t="s">
        <v>1065</v>
      </c>
      <c r="J21" s="9" t="s">
        <v>1034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46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1066</v>
      </c>
    </row>
    <row r="2" customFormat="false" ht="15" hidden="false" customHeight="false" outlineLevel="0" collapsed="false">
      <c r="A2" s="2" t="s">
        <v>1067</v>
      </c>
    </row>
    <row r="4" customFormat="false" ht="31.5" hidden="false" customHeight="true" outlineLevel="0" collapsed="false">
      <c r="A4" s="3" t="s">
        <v>1068</v>
      </c>
      <c r="B4" s="3" t="s">
        <v>1069</v>
      </c>
      <c r="C4" s="3" t="s">
        <v>1070</v>
      </c>
      <c r="D4" s="3" t="s">
        <v>1071</v>
      </c>
      <c r="E4" s="3" t="s">
        <v>1072</v>
      </c>
      <c r="F4" s="3" t="s">
        <v>1073</v>
      </c>
      <c r="G4" s="3" t="s">
        <v>504</v>
      </c>
      <c r="H4" s="3" t="s">
        <v>1074</v>
      </c>
    </row>
    <row r="5" customFormat="false" ht="46.25" hidden="false" customHeight="false" outlineLevel="0" collapsed="false">
      <c r="A5" s="9" t="s">
        <v>1075</v>
      </c>
      <c r="B5" s="9" t="s">
        <v>1076</v>
      </c>
      <c r="C5" s="9" t="s">
        <v>1077</v>
      </c>
      <c r="D5" s="9" t="s">
        <v>420</v>
      </c>
      <c r="E5" s="9" t="s">
        <v>420</v>
      </c>
      <c r="F5" s="9" t="s">
        <v>1078</v>
      </c>
      <c r="G5" s="9" t="s">
        <v>1079</v>
      </c>
      <c r="H5" s="9" t="s">
        <v>1080</v>
      </c>
    </row>
    <row r="6" customFormat="false" ht="23.85" hidden="false" customHeight="false" outlineLevel="0" collapsed="false">
      <c r="A6" s="58" t="s">
        <v>1081</v>
      </c>
      <c r="B6" s="58" t="s">
        <v>1082</v>
      </c>
      <c r="C6" s="58" t="s">
        <v>1083</v>
      </c>
      <c r="D6" s="58" t="s">
        <v>1084</v>
      </c>
      <c r="E6" s="58" t="s">
        <v>1085</v>
      </c>
      <c r="F6" s="58" t="s">
        <v>1086</v>
      </c>
      <c r="G6" s="58" t="s">
        <v>1087</v>
      </c>
      <c r="H6" s="58" t="s">
        <v>1088</v>
      </c>
    </row>
    <row r="7" customFormat="false" ht="23.85" hidden="false" customHeight="false" outlineLevel="0" collapsed="false">
      <c r="A7" s="9" t="s">
        <v>1089</v>
      </c>
      <c r="B7" s="9" t="s">
        <v>1090</v>
      </c>
      <c r="C7" s="9" t="s">
        <v>1091</v>
      </c>
      <c r="D7" s="9" t="s">
        <v>1092</v>
      </c>
      <c r="E7" s="9" t="s">
        <v>1093</v>
      </c>
      <c r="F7" s="9" t="s">
        <v>1094</v>
      </c>
      <c r="G7" s="9" t="s">
        <v>1095</v>
      </c>
      <c r="H7" s="9" t="s">
        <v>1096</v>
      </c>
    </row>
    <row r="8" customFormat="false" ht="23.85" hidden="false" customHeight="false" outlineLevel="0" collapsed="false">
      <c r="A8" s="58" t="s">
        <v>1097</v>
      </c>
      <c r="B8" s="58" t="s">
        <v>1098</v>
      </c>
      <c r="C8" s="58" t="s">
        <v>1099</v>
      </c>
      <c r="D8" s="58" t="s">
        <v>1100</v>
      </c>
      <c r="E8" s="58" t="s">
        <v>1101</v>
      </c>
      <c r="F8" s="58" t="s">
        <v>1102</v>
      </c>
      <c r="G8" s="58" t="s">
        <v>1103</v>
      </c>
      <c r="H8" s="58" t="s">
        <v>1104</v>
      </c>
    </row>
    <row r="9" customFormat="false" ht="23.85" hidden="false" customHeight="false" outlineLevel="0" collapsed="false">
      <c r="A9" s="9" t="s">
        <v>1105</v>
      </c>
      <c r="B9" s="9" t="s">
        <v>1106</v>
      </c>
      <c r="C9" s="9" t="s">
        <v>1107</v>
      </c>
      <c r="D9" s="9" t="s">
        <v>1108</v>
      </c>
      <c r="E9" s="9" t="s">
        <v>1109</v>
      </c>
      <c r="F9" s="9" t="s">
        <v>1110</v>
      </c>
      <c r="G9" s="9" t="s">
        <v>1111</v>
      </c>
      <c r="H9" s="9" t="s">
        <v>1112</v>
      </c>
    </row>
    <row r="10" customFormat="false" ht="15" hidden="false" customHeight="false" outlineLevel="0" collapsed="false">
      <c r="A10" s="58" t="s">
        <v>1113</v>
      </c>
      <c r="B10" s="58" t="s">
        <v>1114</v>
      </c>
      <c r="C10" s="58" t="s">
        <v>1115</v>
      </c>
      <c r="D10" s="58" t="s">
        <v>1116</v>
      </c>
      <c r="E10" s="58" t="s">
        <v>1117</v>
      </c>
      <c r="F10" s="58" t="s">
        <v>1118</v>
      </c>
      <c r="G10" s="58" t="s">
        <v>1119</v>
      </c>
      <c r="H10" s="58" t="s">
        <v>1120</v>
      </c>
    </row>
    <row r="11" customFormat="false" ht="23.85" hidden="false" customHeight="false" outlineLevel="0" collapsed="false">
      <c r="A11" s="9" t="s">
        <v>1121</v>
      </c>
      <c r="B11" s="9" t="s">
        <v>1122</v>
      </c>
      <c r="C11" s="9" t="s">
        <v>1123</v>
      </c>
      <c r="D11" s="9" t="s">
        <v>1124</v>
      </c>
      <c r="E11" s="9" t="s">
        <v>1125</v>
      </c>
      <c r="F11" s="9" t="s">
        <v>1126</v>
      </c>
      <c r="G11" s="9" t="s">
        <v>1127</v>
      </c>
      <c r="H11" s="9" t="s">
        <v>1128</v>
      </c>
    </row>
    <row r="12" customFormat="false" ht="35.05" hidden="false" customHeight="false" outlineLevel="0" collapsed="false">
      <c r="A12" s="58" t="s">
        <v>1129</v>
      </c>
      <c r="B12" s="58" t="s">
        <v>1130</v>
      </c>
      <c r="C12" s="58" t="s">
        <v>1131</v>
      </c>
      <c r="D12" s="58" t="s">
        <v>1132</v>
      </c>
      <c r="E12" s="58" t="s">
        <v>1133</v>
      </c>
      <c r="F12" s="58" t="s">
        <v>1134</v>
      </c>
      <c r="G12" s="58" t="s">
        <v>1135</v>
      </c>
      <c r="H12" s="58" t="s">
        <v>1136</v>
      </c>
    </row>
    <row r="13" customFormat="false" ht="35.05" hidden="false" customHeight="false" outlineLevel="0" collapsed="false">
      <c r="A13" s="9" t="s">
        <v>1137</v>
      </c>
      <c r="B13" s="9" t="s">
        <v>1138</v>
      </c>
      <c r="C13" s="9" t="s">
        <v>1139</v>
      </c>
      <c r="D13" s="9" t="s">
        <v>1140</v>
      </c>
      <c r="E13" s="9" t="s">
        <v>1141</v>
      </c>
      <c r="F13" s="9" t="s">
        <v>1142</v>
      </c>
      <c r="G13" s="9" t="s">
        <v>1143</v>
      </c>
      <c r="H13" s="9" t="s">
        <v>1144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1145</v>
      </c>
    </row>
    <row r="2" customFormat="false" ht="15" hidden="false" customHeight="false" outlineLevel="0" collapsed="false">
      <c r="A2" s="2" t="s">
        <v>1146</v>
      </c>
    </row>
    <row r="4" customFormat="false" ht="31.5" hidden="false" customHeight="true" outlineLevel="0" collapsed="false">
      <c r="A4" s="3" t="s">
        <v>113</v>
      </c>
      <c r="B4" s="3" t="s">
        <v>1147</v>
      </c>
      <c r="C4" s="3" t="s">
        <v>1148</v>
      </c>
      <c r="D4" s="3" t="s">
        <v>1149</v>
      </c>
      <c r="E4" s="3" t="s">
        <v>1150</v>
      </c>
      <c r="F4" s="3" t="s">
        <v>1151</v>
      </c>
      <c r="G4" s="3" t="s">
        <v>1152</v>
      </c>
    </row>
    <row r="5" customFormat="false" ht="23.85" hidden="false" customHeight="false" outlineLevel="0" collapsed="false">
      <c r="A5" s="9" t="s">
        <v>80</v>
      </c>
      <c r="B5" s="9" t="s">
        <v>1153</v>
      </c>
      <c r="C5" s="9" t="s">
        <v>1154</v>
      </c>
      <c r="D5" s="9" t="s">
        <v>1155</v>
      </c>
      <c r="E5" s="9" t="s">
        <v>1156</v>
      </c>
      <c r="F5" s="9" t="s">
        <v>1157</v>
      </c>
      <c r="G5" s="9" t="s">
        <v>1158</v>
      </c>
    </row>
    <row r="6" customFormat="false" ht="23.85" hidden="false" customHeight="false" outlineLevel="0" collapsed="false">
      <c r="A6" s="58" t="s">
        <v>80</v>
      </c>
      <c r="B6" s="58" t="s">
        <v>1159</v>
      </c>
      <c r="C6" s="58" t="s">
        <v>1160</v>
      </c>
      <c r="D6" s="58" t="s">
        <v>1161</v>
      </c>
      <c r="E6" s="58" t="s">
        <v>1162</v>
      </c>
      <c r="F6" s="58" t="s">
        <v>1163</v>
      </c>
      <c r="G6" s="58" t="s">
        <v>1164</v>
      </c>
    </row>
    <row r="7" customFormat="false" ht="15" hidden="false" customHeight="false" outlineLevel="0" collapsed="false">
      <c r="A7" s="9" t="s">
        <v>80</v>
      </c>
      <c r="B7" s="9" t="s">
        <v>1165</v>
      </c>
      <c r="C7" s="9" t="s">
        <v>1160</v>
      </c>
      <c r="D7" s="9" t="s">
        <v>1166</v>
      </c>
      <c r="E7" s="9" t="s">
        <v>1167</v>
      </c>
      <c r="F7" s="9" t="s">
        <v>1168</v>
      </c>
      <c r="G7" s="9" t="s">
        <v>1169</v>
      </c>
    </row>
    <row r="8" customFormat="false" ht="23.85" hidden="false" customHeight="false" outlineLevel="0" collapsed="false">
      <c r="A8" s="58" t="s">
        <v>80</v>
      </c>
      <c r="B8" s="58" t="s">
        <v>1170</v>
      </c>
      <c r="C8" s="58" t="s">
        <v>1171</v>
      </c>
      <c r="D8" s="58" t="s">
        <v>1172</v>
      </c>
      <c r="E8" s="58" t="s">
        <v>1173</v>
      </c>
      <c r="F8" s="58" t="s">
        <v>1174</v>
      </c>
      <c r="G8" s="58" t="s">
        <v>1175</v>
      </c>
    </row>
    <row r="9" customFormat="false" ht="23.85" hidden="false" customHeight="false" outlineLevel="0" collapsed="false">
      <c r="A9" s="9" t="s">
        <v>80</v>
      </c>
      <c r="B9" s="9" t="s">
        <v>1176</v>
      </c>
      <c r="C9" s="9" t="s">
        <v>1177</v>
      </c>
      <c r="D9" s="9" t="s">
        <v>1178</v>
      </c>
      <c r="E9" s="9" t="s">
        <v>1179</v>
      </c>
      <c r="F9" s="9" t="s">
        <v>1163</v>
      </c>
      <c r="G9" s="9" t="s">
        <v>1180</v>
      </c>
    </row>
    <row r="10" customFormat="false" ht="23.85" hidden="false" customHeight="false" outlineLevel="0" collapsed="false">
      <c r="A10" s="58" t="s">
        <v>82</v>
      </c>
      <c r="B10" s="58" t="s">
        <v>1181</v>
      </c>
      <c r="C10" s="58" t="s">
        <v>1182</v>
      </c>
      <c r="D10" s="58" t="s">
        <v>1183</v>
      </c>
      <c r="E10" s="58" t="s">
        <v>1184</v>
      </c>
      <c r="F10" s="58" t="s">
        <v>1185</v>
      </c>
      <c r="G10" s="58" t="s">
        <v>1186</v>
      </c>
    </row>
    <row r="11" customFormat="false" ht="35.05" hidden="false" customHeight="false" outlineLevel="0" collapsed="false">
      <c r="A11" s="9" t="s">
        <v>82</v>
      </c>
      <c r="B11" s="9" t="s">
        <v>1187</v>
      </c>
      <c r="C11" s="9" t="s">
        <v>1188</v>
      </c>
      <c r="D11" s="9" t="s">
        <v>420</v>
      </c>
      <c r="E11" s="9" t="s">
        <v>1189</v>
      </c>
      <c r="F11" s="9" t="s">
        <v>1190</v>
      </c>
      <c r="G11" s="9" t="s">
        <v>1191</v>
      </c>
    </row>
    <row r="12" customFormat="false" ht="23.85" hidden="false" customHeight="false" outlineLevel="0" collapsed="false">
      <c r="A12" s="58" t="s">
        <v>1192</v>
      </c>
      <c r="B12" s="58" t="s">
        <v>1193</v>
      </c>
      <c r="C12" s="58" t="s">
        <v>1194</v>
      </c>
      <c r="D12" s="58" t="s">
        <v>1195</v>
      </c>
      <c r="E12" s="58" t="s">
        <v>420</v>
      </c>
      <c r="F12" s="58" t="s">
        <v>1196</v>
      </c>
      <c r="G12" s="58" t="s">
        <v>1197</v>
      </c>
    </row>
    <row r="13" customFormat="false" ht="35.05" hidden="false" customHeight="false" outlineLevel="0" collapsed="false">
      <c r="A13" s="9" t="s">
        <v>82</v>
      </c>
      <c r="B13" s="9" t="s">
        <v>1198</v>
      </c>
      <c r="C13" s="9" t="s">
        <v>1199</v>
      </c>
      <c r="D13" s="9" t="s">
        <v>1200</v>
      </c>
      <c r="E13" s="9" t="s">
        <v>420</v>
      </c>
      <c r="F13" s="9" t="s">
        <v>1201</v>
      </c>
      <c r="G13" s="9" t="s">
        <v>1202</v>
      </c>
    </row>
    <row r="14" customFormat="false" ht="15" hidden="false" customHeight="false" outlineLevel="0" collapsed="false">
      <c r="A14" s="58" t="s">
        <v>82</v>
      </c>
      <c r="B14" s="58" t="s">
        <v>1203</v>
      </c>
      <c r="C14" s="58" t="s">
        <v>1160</v>
      </c>
      <c r="D14" s="58" t="s">
        <v>1204</v>
      </c>
      <c r="E14" s="58" t="s">
        <v>420</v>
      </c>
      <c r="F14" s="58" t="s">
        <v>1205</v>
      </c>
      <c r="G14" s="58" t="s">
        <v>1206</v>
      </c>
    </row>
    <row r="15" customFormat="false" ht="35.05" hidden="false" customHeight="false" outlineLevel="0" collapsed="false">
      <c r="A15" s="9" t="s">
        <v>1207</v>
      </c>
      <c r="B15" s="9" t="s">
        <v>1208</v>
      </c>
      <c r="C15" s="9" t="s">
        <v>420</v>
      </c>
      <c r="D15" s="9" t="s">
        <v>1209</v>
      </c>
      <c r="E15" s="9" t="s">
        <v>420</v>
      </c>
      <c r="F15" s="9" t="s">
        <v>420</v>
      </c>
      <c r="G15" s="9" t="s">
        <v>1210</v>
      </c>
    </row>
    <row r="16" customFormat="false" ht="35.05" hidden="false" customHeight="false" outlineLevel="0" collapsed="false">
      <c r="A16" s="58" t="s">
        <v>18</v>
      </c>
      <c r="B16" s="58" t="s">
        <v>1211</v>
      </c>
      <c r="C16" s="58" t="s">
        <v>1212</v>
      </c>
      <c r="D16" s="58" t="s">
        <v>1213</v>
      </c>
      <c r="E16" s="58" t="s">
        <v>1214</v>
      </c>
      <c r="F16" s="58" t="s">
        <v>1163</v>
      </c>
      <c r="G16" s="58" t="s">
        <v>1215</v>
      </c>
    </row>
    <row r="17" customFormat="false" ht="23.85" hidden="false" customHeight="false" outlineLevel="0" collapsed="false">
      <c r="A17" s="9" t="s">
        <v>18</v>
      </c>
      <c r="B17" s="9" t="s">
        <v>1216</v>
      </c>
      <c r="C17" s="9" t="s">
        <v>1212</v>
      </c>
      <c r="D17" s="9" t="s">
        <v>1217</v>
      </c>
      <c r="E17" s="9" t="s">
        <v>1218</v>
      </c>
      <c r="F17" s="9" t="s">
        <v>1163</v>
      </c>
      <c r="G17" s="9" t="s">
        <v>1219</v>
      </c>
    </row>
    <row r="18" customFormat="false" ht="35.05" hidden="false" customHeight="false" outlineLevel="0" collapsed="false">
      <c r="A18" s="58" t="s">
        <v>18</v>
      </c>
      <c r="B18" s="58" t="s">
        <v>1220</v>
      </c>
      <c r="C18" s="58" t="s">
        <v>1212</v>
      </c>
      <c r="D18" s="58" t="s">
        <v>1221</v>
      </c>
      <c r="E18" s="58" t="s">
        <v>1222</v>
      </c>
      <c r="F18" s="58" t="s">
        <v>1163</v>
      </c>
      <c r="G18" s="58" t="s">
        <v>1223</v>
      </c>
    </row>
    <row r="19" customFormat="false" ht="23.85" hidden="false" customHeight="false" outlineLevel="0" collapsed="false">
      <c r="A19" s="9" t="s">
        <v>18</v>
      </c>
      <c r="B19" s="9" t="s">
        <v>1224</v>
      </c>
      <c r="C19" s="9" t="s">
        <v>1212</v>
      </c>
      <c r="D19" s="9" t="s">
        <v>1225</v>
      </c>
      <c r="E19" s="9" t="s">
        <v>1226</v>
      </c>
      <c r="F19" s="9" t="s">
        <v>1227</v>
      </c>
      <c r="G19" s="9" t="s">
        <v>1228</v>
      </c>
    </row>
    <row r="20" customFormat="false" ht="23.85" hidden="false" customHeight="false" outlineLevel="0" collapsed="false">
      <c r="A20" s="58" t="s">
        <v>18</v>
      </c>
      <c r="B20" s="58" t="s">
        <v>1229</v>
      </c>
      <c r="C20" s="58" t="s">
        <v>1230</v>
      </c>
      <c r="D20" s="58" t="s">
        <v>420</v>
      </c>
      <c r="E20" s="58" t="s">
        <v>420</v>
      </c>
      <c r="F20" s="58" t="s">
        <v>1231</v>
      </c>
      <c r="G20" s="58" t="s">
        <v>1232</v>
      </c>
    </row>
    <row r="21" customFormat="false" ht="23.85" hidden="false" customHeight="false" outlineLevel="0" collapsed="false">
      <c r="A21" s="9" t="s">
        <v>18</v>
      </c>
      <c r="B21" s="9" t="s">
        <v>1233</v>
      </c>
      <c r="C21" s="9" t="s">
        <v>1234</v>
      </c>
      <c r="D21" s="9" t="s">
        <v>1235</v>
      </c>
      <c r="E21" s="9" t="s">
        <v>420</v>
      </c>
      <c r="F21" s="9" t="s">
        <v>1236</v>
      </c>
      <c r="G21" s="9" t="s">
        <v>1237</v>
      </c>
    </row>
    <row r="22" customFormat="false" ht="23.85" hidden="false" customHeight="false" outlineLevel="0" collapsed="false">
      <c r="A22" s="58" t="s">
        <v>18</v>
      </c>
      <c r="B22" s="58" t="s">
        <v>1238</v>
      </c>
      <c r="C22" s="58" t="s">
        <v>1239</v>
      </c>
      <c r="D22" s="58" t="s">
        <v>1240</v>
      </c>
      <c r="E22" s="58" t="s">
        <v>420</v>
      </c>
      <c r="F22" s="58" t="s">
        <v>1196</v>
      </c>
      <c r="G22" s="58" t="s">
        <v>1241</v>
      </c>
    </row>
    <row r="23" customFormat="false" ht="35.05" hidden="false" customHeight="false" outlineLevel="0" collapsed="false">
      <c r="A23" s="9" t="s">
        <v>18</v>
      </c>
      <c r="B23" s="9" t="s">
        <v>1242</v>
      </c>
      <c r="C23" s="9" t="s">
        <v>1243</v>
      </c>
      <c r="D23" s="9" t="s">
        <v>1244</v>
      </c>
      <c r="E23" s="9" t="s">
        <v>1245</v>
      </c>
      <c r="F23" s="9" t="s">
        <v>1246</v>
      </c>
      <c r="G23" s="9" t="s">
        <v>1247</v>
      </c>
    </row>
    <row r="24" customFormat="false" ht="23.85" hidden="false" customHeight="false" outlineLevel="0" collapsed="false">
      <c r="A24" s="58" t="s">
        <v>18</v>
      </c>
      <c r="B24" s="58" t="s">
        <v>1248</v>
      </c>
      <c r="C24" s="58" t="s">
        <v>1249</v>
      </c>
      <c r="D24" s="58" t="s">
        <v>1250</v>
      </c>
      <c r="E24" s="58" t="s">
        <v>1251</v>
      </c>
      <c r="F24" s="58" t="s">
        <v>1252</v>
      </c>
      <c r="G24" s="58" t="s">
        <v>1253</v>
      </c>
    </row>
    <row r="25" customFormat="false" ht="23.85" hidden="false" customHeight="false" outlineLevel="0" collapsed="false">
      <c r="A25" s="9" t="s">
        <v>18</v>
      </c>
      <c r="B25" s="9" t="s">
        <v>1254</v>
      </c>
      <c r="C25" s="9" t="s">
        <v>1255</v>
      </c>
      <c r="D25" s="9" t="s">
        <v>420</v>
      </c>
      <c r="E25" s="9" t="s">
        <v>420</v>
      </c>
      <c r="F25" s="9" t="s">
        <v>1196</v>
      </c>
      <c r="G25" s="9" t="s">
        <v>1256</v>
      </c>
    </row>
    <row r="26" customFormat="false" ht="35.05" hidden="false" customHeight="false" outlineLevel="0" collapsed="false">
      <c r="A26" s="58" t="s">
        <v>18</v>
      </c>
      <c r="B26" s="58" t="s">
        <v>1257</v>
      </c>
      <c r="C26" s="58" t="s">
        <v>1258</v>
      </c>
      <c r="D26" s="58" t="s">
        <v>420</v>
      </c>
      <c r="E26" s="58" t="s">
        <v>1259</v>
      </c>
      <c r="F26" s="58" t="s">
        <v>1260</v>
      </c>
      <c r="G26" s="58" t="s">
        <v>1261</v>
      </c>
    </row>
    <row r="27" customFormat="false" ht="15" hidden="false" customHeight="false" outlineLevel="0" collapsed="false">
      <c r="A27" s="9" t="s">
        <v>85</v>
      </c>
      <c r="B27" s="9" t="s">
        <v>1262</v>
      </c>
      <c r="C27" s="9" t="s">
        <v>1212</v>
      </c>
      <c r="D27" s="9" t="s">
        <v>1263</v>
      </c>
      <c r="E27" s="9" t="s">
        <v>1264</v>
      </c>
      <c r="F27" s="9" t="s">
        <v>1163</v>
      </c>
      <c r="G27" s="9" t="s">
        <v>1265</v>
      </c>
    </row>
    <row r="28" customFormat="false" ht="23.85" hidden="false" customHeight="false" outlineLevel="0" collapsed="false">
      <c r="A28" s="58" t="s">
        <v>85</v>
      </c>
      <c r="B28" s="58" t="s">
        <v>1266</v>
      </c>
      <c r="C28" s="58" t="s">
        <v>1212</v>
      </c>
      <c r="D28" s="58" t="s">
        <v>1267</v>
      </c>
      <c r="E28" s="58" t="s">
        <v>420</v>
      </c>
      <c r="F28" s="58" t="s">
        <v>1163</v>
      </c>
      <c r="G28" s="58" t="s">
        <v>1268</v>
      </c>
    </row>
    <row r="29" customFormat="false" ht="15" hidden="false" customHeight="false" outlineLevel="0" collapsed="false">
      <c r="A29" s="9" t="s">
        <v>85</v>
      </c>
      <c r="B29" s="9" t="s">
        <v>1269</v>
      </c>
      <c r="C29" s="9" t="s">
        <v>1160</v>
      </c>
      <c r="D29" s="9" t="s">
        <v>1270</v>
      </c>
      <c r="E29" s="9" t="s">
        <v>420</v>
      </c>
      <c r="F29" s="9" t="s">
        <v>1163</v>
      </c>
      <c r="G29" s="9" t="s">
        <v>1271</v>
      </c>
    </row>
    <row r="30" customFormat="false" ht="15" hidden="false" customHeight="false" outlineLevel="0" collapsed="false">
      <c r="A30" s="58" t="s">
        <v>85</v>
      </c>
      <c r="B30" s="58" t="s">
        <v>1272</v>
      </c>
      <c r="C30" s="58" t="s">
        <v>1273</v>
      </c>
      <c r="D30" s="58" t="s">
        <v>420</v>
      </c>
      <c r="E30" s="58" t="s">
        <v>420</v>
      </c>
      <c r="F30" s="58" t="s">
        <v>1196</v>
      </c>
      <c r="G30" s="58" t="s">
        <v>1274</v>
      </c>
    </row>
    <row r="31" customFormat="false" ht="23.85" hidden="false" customHeight="false" outlineLevel="0" collapsed="false">
      <c r="A31" s="9" t="s">
        <v>87</v>
      </c>
      <c r="B31" s="9" t="s">
        <v>1275</v>
      </c>
      <c r="C31" s="9" t="s">
        <v>1276</v>
      </c>
      <c r="D31" s="9" t="s">
        <v>1277</v>
      </c>
      <c r="E31" s="9" t="s">
        <v>1278</v>
      </c>
      <c r="F31" s="9" t="s">
        <v>1163</v>
      </c>
      <c r="G31" s="9" t="s">
        <v>1279</v>
      </c>
    </row>
    <row r="32" customFormat="false" ht="15" hidden="false" customHeight="false" outlineLevel="0" collapsed="false">
      <c r="A32" s="58" t="s">
        <v>89</v>
      </c>
      <c r="B32" s="58" t="s">
        <v>1280</v>
      </c>
      <c r="C32" s="58" t="s">
        <v>1212</v>
      </c>
      <c r="D32" s="58" t="s">
        <v>1281</v>
      </c>
      <c r="E32" s="58" t="s">
        <v>1282</v>
      </c>
      <c r="F32" s="58" t="s">
        <v>1163</v>
      </c>
      <c r="G32" s="58" t="s">
        <v>1283</v>
      </c>
    </row>
    <row r="33" customFormat="false" ht="15" hidden="false" customHeight="false" outlineLevel="0" collapsed="false">
      <c r="A33" s="9" t="s">
        <v>89</v>
      </c>
      <c r="B33" s="9" t="s">
        <v>1284</v>
      </c>
      <c r="C33" s="9" t="s">
        <v>1285</v>
      </c>
      <c r="D33" s="9" t="s">
        <v>420</v>
      </c>
      <c r="E33" s="9" t="s">
        <v>420</v>
      </c>
      <c r="F33" s="9" t="s">
        <v>1196</v>
      </c>
      <c r="G33" s="9" t="s">
        <v>1286</v>
      </c>
    </row>
    <row r="34" customFormat="false" ht="35.05" hidden="false" customHeight="false" outlineLevel="0" collapsed="false">
      <c r="A34" s="58" t="s">
        <v>1287</v>
      </c>
      <c r="B34" s="58" t="s">
        <v>1288</v>
      </c>
      <c r="C34" s="58" t="s">
        <v>1289</v>
      </c>
      <c r="D34" s="58" t="s">
        <v>420</v>
      </c>
      <c r="E34" s="58" t="s">
        <v>420</v>
      </c>
      <c r="F34" s="58" t="s">
        <v>1034</v>
      </c>
      <c r="G34" s="58" t="s">
        <v>1290</v>
      </c>
    </row>
    <row r="35" customFormat="false" ht="46.25" hidden="false" customHeight="false" outlineLevel="0" collapsed="false">
      <c r="A35" s="9" t="s">
        <v>91</v>
      </c>
      <c r="B35" s="9" t="s">
        <v>1291</v>
      </c>
      <c r="C35" s="9" t="s">
        <v>1292</v>
      </c>
      <c r="D35" s="9" t="s">
        <v>1293</v>
      </c>
      <c r="E35" s="9" t="s">
        <v>1294</v>
      </c>
      <c r="F35" s="9" t="s">
        <v>1295</v>
      </c>
      <c r="G35" s="9" t="s">
        <v>1296</v>
      </c>
    </row>
    <row r="36" customFormat="false" ht="46.25" hidden="false" customHeight="false" outlineLevel="0" collapsed="false">
      <c r="A36" s="58" t="s">
        <v>91</v>
      </c>
      <c r="B36" s="58" t="s">
        <v>1297</v>
      </c>
      <c r="C36" s="58" t="s">
        <v>1298</v>
      </c>
      <c r="D36" s="58" t="s">
        <v>1299</v>
      </c>
      <c r="E36" s="58" t="s">
        <v>1300</v>
      </c>
      <c r="F36" s="58" t="s">
        <v>1301</v>
      </c>
      <c r="G36" s="58" t="s">
        <v>1302</v>
      </c>
    </row>
    <row r="37" customFormat="false" ht="35.05" hidden="false" customHeight="false" outlineLevel="0" collapsed="false">
      <c r="A37" s="9" t="s">
        <v>91</v>
      </c>
      <c r="B37" s="9" t="s">
        <v>1303</v>
      </c>
      <c r="C37" s="9" t="s">
        <v>1304</v>
      </c>
      <c r="D37" s="9" t="s">
        <v>1305</v>
      </c>
      <c r="E37" s="9" t="s">
        <v>1306</v>
      </c>
      <c r="F37" s="9" t="s">
        <v>1307</v>
      </c>
      <c r="G37" s="9" t="s">
        <v>1308</v>
      </c>
    </row>
    <row r="38" customFormat="false" ht="35.05" hidden="false" customHeight="false" outlineLevel="0" collapsed="false">
      <c r="A38" s="58" t="s">
        <v>91</v>
      </c>
      <c r="B38" s="58" t="s">
        <v>1309</v>
      </c>
      <c r="C38" s="58" t="s">
        <v>1310</v>
      </c>
      <c r="D38" s="58" t="s">
        <v>1311</v>
      </c>
      <c r="E38" s="58" t="s">
        <v>1312</v>
      </c>
      <c r="F38" s="58" t="s">
        <v>1313</v>
      </c>
      <c r="G38" s="58" t="s">
        <v>1314</v>
      </c>
    </row>
    <row r="39" customFormat="false" ht="23.85" hidden="false" customHeight="false" outlineLevel="0" collapsed="false">
      <c r="A39" s="9" t="s">
        <v>91</v>
      </c>
      <c r="B39" s="9" t="s">
        <v>1315</v>
      </c>
      <c r="C39" s="9" t="s">
        <v>1316</v>
      </c>
      <c r="D39" s="9" t="s">
        <v>1317</v>
      </c>
      <c r="E39" s="9" t="s">
        <v>1318</v>
      </c>
      <c r="F39" s="9" t="s">
        <v>1313</v>
      </c>
      <c r="G39" s="9" t="s">
        <v>1319</v>
      </c>
    </row>
    <row r="40" customFormat="false" ht="23.85" hidden="false" customHeight="false" outlineLevel="0" collapsed="false">
      <c r="A40" s="58" t="s">
        <v>91</v>
      </c>
      <c r="B40" s="58" t="s">
        <v>1320</v>
      </c>
      <c r="C40" s="58" t="s">
        <v>1321</v>
      </c>
      <c r="D40" s="58" t="s">
        <v>420</v>
      </c>
      <c r="E40" s="58" t="s">
        <v>420</v>
      </c>
      <c r="F40" s="58" t="s">
        <v>1322</v>
      </c>
      <c r="G40" s="58" t="s">
        <v>1323</v>
      </c>
    </row>
    <row r="41" customFormat="false" ht="23.85" hidden="false" customHeight="false" outlineLevel="0" collapsed="false">
      <c r="A41" s="9" t="s">
        <v>91</v>
      </c>
      <c r="B41" s="9" t="s">
        <v>1208</v>
      </c>
      <c r="C41" s="9" t="s">
        <v>420</v>
      </c>
      <c r="D41" s="9" t="s">
        <v>1324</v>
      </c>
      <c r="E41" s="9" t="s">
        <v>420</v>
      </c>
      <c r="F41" s="9" t="s">
        <v>420</v>
      </c>
      <c r="G41" s="9" t="s">
        <v>1325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1326</v>
      </c>
    </row>
    <row r="2" customFormat="false" ht="15" hidden="false" customHeight="false" outlineLevel="0" collapsed="false">
      <c r="A2" s="2" t="s">
        <v>1327</v>
      </c>
    </row>
    <row r="4" customFormat="false" ht="31.5" hidden="false" customHeight="true" outlineLevel="0" collapsed="false">
      <c r="A4" s="3" t="s">
        <v>1328</v>
      </c>
      <c r="B4" s="3" t="s">
        <v>1329</v>
      </c>
      <c r="C4" s="3" t="s">
        <v>1330</v>
      </c>
    </row>
    <row r="5" customFormat="false" ht="23.85" hidden="false" customHeight="false" outlineLevel="0" collapsed="false">
      <c r="A5" s="26" t="n">
        <v>1</v>
      </c>
      <c r="B5" s="9" t="s">
        <v>1331</v>
      </c>
      <c r="C5" s="9" t="s">
        <v>1332</v>
      </c>
    </row>
    <row r="6" customFormat="false" ht="15" hidden="false" customHeight="false" outlineLevel="0" collapsed="false">
      <c r="A6" s="35" t="n">
        <v>2</v>
      </c>
      <c r="B6" s="58" t="s">
        <v>1333</v>
      </c>
      <c r="C6" s="58" t="s">
        <v>1334</v>
      </c>
    </row>
    <row r="7" customFormat="false" ht="15" hidden="false" customHeight="false" outlineLevel="0" collapsed="false">
      <c r="A7" s="26" t="n">
        <v>3</v>
      </c>
      <c r="B7" s="9" t="s">
        <v>1335</v>
      </c>
      <c r="C7" s="9" t="s">
        <v>1336</v>
      </c>
    </row>
    <row r="8" customFormat="false" ht="15" hidden="false" customHeight="false" outlineLevel="0" collapsed="false">
      <c r="A8" s="35" t="n">
        <v>4</v>
      </c>
      <c r="B8" s="58" t="s">
        <v>1337</v>
      </c>
      <c r="C8" s="58" t="s">
        <v>1338</v>
      </c>
    </row>
    <row r="9" customFormat="false" ht="15" hidden="false" customHeight="false" outlineLevel="0" collapsed="false">
      <c r="A9" s="26" t="n">
        <v>5</v>
      </c>
      <c r="B9" s="9" t="s">
        <v>1339</v>
      </c>
      <c r="C9" s="9" t="s">
        <v>1340</v>
      </c>
    </row>
    <row r="10" customFormat="false" ht="15" hidden="false" customHeight="false" outlineLevel="0" collapsed="false">
      <c r="A10" s="35" t="n">
        <v>6</v>
      </c>
      <c r="B10" s="58" t="s">
        <v>1341</v>
      </c>
      <c r="C10" s="58" t="s">
        <v>1342</v>
      </c>
    </row>
    <row r="11" customFormat="false" ht="15" hidden="false" customHeight="false" outlineLevel="0" collapsed="false">
      <c r="A11" s="26" t="n">
        <v>7</v>
      </c>
      <c r="B11" s="9" t="s">
        <v>1343</v>
      </c>
      <c r="C11" s="9" t="s">
        <v>1344</v>
      </c>
    </row>
    <row r="12" customFormat="false" ht="15" hidden="false" customHeight="false" outlineLevel="0" collapsed="false">
      <c r="A12" s="35" t="n">
        <v>8</v>
      </c>
      <c r="B12" s="58" t="s">
        <v>1345</v>
      </c>
      <c r="C12" s="58" t="s">
        <v>1346</v>
      </c>
    </row>
    <row r="13" customFormat="false" ht="15" hidden="false" customHeight="false" outlineLevel="0" collapsed="false">
      <c r="A13" s="26" t="n">
        <v>9</v>
      </c>
      <c r="B13" s="9" t="s">
        <v>1347</v>
      </c>
      <c r="C13" s="9" t="s">
        <v>1348</v>
      </c>
    </row>
    <row r="14" customFormat="false" ht="15" hidden="false" customHeight="false" outlineLevel="0" collapsed="false">
      <c r="A14" s="35" t="n">
        <v>10</v>
      </c>
      <c r="B14" s="58" t="s">
        <v>1349</v>
      </c>
      <c r="C14" s="58" t="s">
        <v>1350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1351</v>
      </c>
    </row>
    <row r="2" customFormat="false" ht="15" hidden="false" customHeight="false" outlineLevel="0" collapsed="false">
      <c r="A2" s="2" t="s">
        <v>1352</v>
      </c>
    </row>
    <row r="4" customFormat="false" ht="31.5" hidden="false" customHeight="true" outlineLevel="0" collapsed="false">
      <c r="A4" s="3" t="s">
        <v>1353</v>
      </c>
      <c r="B4" s="3" t="s">
        <v>1354</v>
      </c>
      <c r="C4" s="3" t="s">
        <v>1355</v>
      </c>
    </row>
    <row r="5" customFormat="false" ht="23.85" hidden="false" customHeight="false" outlineLevel="0" collapsed="false">
      <c r="A5" s="9" t="s">
        <v>1356</v>
      </c>
      <c r="B5" s="9" t="s">
        <v>1357</v>
      </c>
      <c r="C5" s="33" t="s">
        <v>217</v>
      </c>
    </row>
    <row r="6" customFormat="false" ht="23.85" hidden="false" customHeight="false" outlineLevel="0" collapsed="false">
      <c r="A6" s="58" t="s">
        <v>1073</v>
      </c>
      <c r="B6" s="58" t="s">
        <v>1358</v>
      </c>
      <c r="C6" s="33" t="s">
        <v>217</v>
      </c>
    </row>
    <row r="7" customFormat="false" ht="15" hidden="false" customHeight="false" outlineLevel="0" collapsed="false">
      <c r="A7" s="9" t="s">
        <v>1073</v>
      </c>
      <c r="B7" s="9" t="s">
        <v>1359</v>
      </c>
      <c r="C7" s="33" t="s">
        <v>217</v>
      </c>
    </row>
    <row r="8" customFormat="false" ht="15" hidden="false" customHeight="false" outlineLevel="0" collapsed="false">
      <c r="A8" s="58" t="s">
        <v>1360</v>
      </c>
      <c r="B8" s="58" t="s">
        <v>1361</v>
      </c>
      <c r="C8" s="33" t="s">
        <v>217</v>
      </c>
    </row>
    <row r="9" customFormat="false" ht="15" hidden="false" customHeight="false" outlineLevel="0" collapsed="false">
      <c r="A9" s="9" t="s">
        <v>1362</v>
      </c>
      <c r="B9" s="9" t="s">
        <v>1363</v>
      </c>
      <c r="C9" s="33" t="s">
        <v>217</v>
      </c>
    </row>
    <row r="10" customFormat="false" ht="15" hidden="false" customHeight="false" outlineLevel="0" collapsed="false">
      <c r="A10" s="58" t="s">
        <v>1362</v>
      </c>
      <c r="B10" s="58" t="s">
        <v>1364</v>
      </c>
      <c r="C10" s="33" t="s">
        <v>217</v>
      </c>
    </row>
    <row r="11" customFormat="false" ht="15" hidden="false" customHeight="false" outlineLevel="0" collapsed="false">
      <c r="A11" s="9" t="s">
        <v>1365</v>
      </c>
      <c r="B11" s="9" t="s">
        <v>1366</v>
      </c>
      <c r="C11" s="33" t="s">
        <v>217</v>
      </c>
    </row>
    <row r="12" customFormat="false" ht="15" hidden="false" customHeight="false" outlineLevel="0" collapsed="false">
      <c r="A12" s="58" t="s">
        <v>1365</v>
      </c>
      <c r="B12" s="58" t="s">
        <v>1367</v>
      </c>
      <c r="C12" s="33" t="s">
        <v>217</v>
      </c>
    </row>
    <row r="13" customFormat="false" ht="15" hidden="false" customHeight="false" outlineLevel="0" collapsed="false">
      <c r="A13" s="9" t="s">
        <v>1368</v>
      </c>
      <c r="B13" s="9" t="s">
        <v>1369</v>
      </c>
      <c r="C13" s="33" t="s">
        <v>217</v>
      </c>
    </row>
    <row r="14" customFormat="false" ht="15" hidden="false" customHeight="false" outlineLevel="0" collapsed="false">
      <c r="A14" s="58" t="s">
        <v>1370</v>
      </c>
      <c r="B14" s="58" t="s">
        <v>1371</v>
      </c>
      <c r="C14" s="33" t="s">
        <v>217</v>
      </c>
    </row>
    <row r="15" customFormat="false" ht="15" hidden="false" customHeight="false" outlineLevel="0" collapsed="false">
      <c r="A15" s="9" t="s">
        <v>1372</v>
      </c>
      <c r="B15" s="9" t="s">
        <v>1373</v>
      </c>
      <c r="C15" s="33" t="s">
        <v>217</v>
      </c>
    </row>
    <row r="16" customFormat="false" ht="15" hidden="false" customHeight="false" outlineLevel="0" collapsed="false">
      <c r="A16" s="58" t="s">
        <v>1374</v>
      </c>
      <c r="B16" s="58" t="s">
        <v>1375</v>
      </c>
      <c r="C16" s="33" t="s">
        <v>217</v>
      </c>
    </row>
    <row r="17" customFormat="false" ht="15" hidden="false" customHeight="false" outlineLevel="0" collapsed="false">
      <c r="A17" s="9" t="s">
        <v>1374</v>
      </c>
      <c r="B17" s="9" t="s">
        <v>1376</v>
      </c>
      <c r="C17" s="33" t="s">
        <v>217</v>
      </c>
    </row>
    <row r="18" customFormat="false" ht="15" hidden="false" customHeight="false" outlineLevel="0" collapsed="false">
      <c r="A18" s="58" t="s">
        <v>1377</v>
      </c>
      <c r="B18" s="58" t="s">
        <v>1378</v>
      </c>
      <c r="C18" s="33" t="s">
        <v>217</v>
      </c>
    </row>
    <row r="19" customFormat="false" ht="15" hidden="false" customHeight="false" outlineLevel="0" collapsed="false">
      <c r="A19" s="9" t="s">
        <v>1379</v>
      </c>
      <c r="B19" s="9" t="s">
        <v>1380</v>
      </c>
      <c r="C19" s="33" t="s">
        <v>217</v>
      </c>
    </row>
    <row r="20" customFormat="false" ht="15" hidden="false" customHeight="false" outlineLevel="0" collapsed="false">
      <c r="A20" s="58" t="s">
        <v>1262</v>
      </c>
      <c r="B20" s="58" t="s">
        <v>1381</v>
      </c>
      <c r="C20" s="33" t="s">
        <v>217</v>
      </c>
    </row>
    <row r="21" customFormat="false" ht="15" hidden="false" customHeight="false" outlineLevel="0" collapsed="false">
      <c r="A21" s="9" t="s">
        <v>1262</v>
      </c>
      <c r="B21" s="9" t="s">
        <v>1382</v>
      </c>
      <c r="C21" s="33" t="s">
        <v>217</v>
      </c>
    </row>
    <row r="22" customFormat="false" ht="15" hidden="false" customHeight="false" outlineLevel="0" collapsed="false">
      <c r="A22" s="58" t="s">
        <v>1383</v>
      </c>
      <c r="B22" s="58" t="s">
        <v>1384</v>
      </c>
      <c r="C22" s="33" t="s">
        <v>217</v>
      </c>
    </row>
    <row r="23" customFormat="false" ht="15" hidden="false" customHeight="false" outlineLevel="0" collapsed="false">
      <c r="A23" s="9" t="s">
        <v>1385</v>
      </c>
      <c r="B23" s="9" t="s">
        <v>1386</v>
      </c>
      <c r="C23" s="33" t="s">
        <v>217</v>
      </c>
    </row>
    <row r="24" customFormat="false" ht="15" hidden="false" customHeight="false" outlineLevel="0" collapsed="false">
      <c r="A24" s="58" t="s">
        <v>1387</v>
      </c>
      <c r="B24" s="58" t="s">
        <v>1388</v>
      </c>
      <c r="C24" s="33" t="s">
        <v>217</v>
      </c>
    </row>
    <row r="25" customFormat="false" ht="15" hidden="false" customHeight="false" outlineLevel="0" collapsed="false">
      <c r="A25" s="9" t="s">
        <v>1387</v>
      </c>
      <c r="B25" s="9" t="s">
        <v>1389</v>
      </c>
      <c r="C25" s="33" t="s">
        <v>217</v>
      </c>
    </row>
    <row r="26" customFormat="false" ht="15" hidden="false" customHeight="false" outlineLevel="0" collapsed="false">
      <c r="A26" s="58" t="s">
        <v>1387</v>
      </c>
      <c r="B26" s="58" t="s">
        <v>1390</v>
      </c>
      <c r="C26" s="33" t="s">
        <v>217</v>
      </c>
    </row>
    <row r="27" customFormat="false" ht="15" hidden="false" customHeight="false" outlineLevel="0" collapsed="false">
      <c r="A27" s="9" t="s">
        <v>1387</v>
      </c>
      <c r="B27" s="9" t="s">
        <v>1391</v>
      </c>
      <c r="C27" s="33" t="s">
        <v>217</v>
      </c>
    </row>
    <row r="28" customFormat="false" ht="15" hidden="false" customHeight="false" outlineLevel="0" collapsed="false">
      <c r="A28" s="58" t="s">
        <v>1387</v>
      </c>
      <c r="B28" s="58" t="s">
        <v>1392</v>
      </c>
      <c r="C28" s="33" t="s">
        <v>217</v>
      </c>
    </row>
    <row r="29" customFormat="false" ht="15" hidden="false" customHeight="false" outlineLevel="0" collapsed="false">
      <c r="A29" s="9" t="s">
        <v>1393</v>
      </c>
      <c r="B29" s="9" t="s">
        <v>1394</v>
      </c>
      <c r="C29" s="33" t="s">
        <v>217</v>
      </c>
    </row>
    <row r="30" customFormat="false" ht="15" hidden="false" customHeight="false" outlineLevel="0" collapsed="false">
      <c r="A30" s="58" t="s">
        <v>1395</v>
      </c>
      <c r="B30" s="58" t="s">
        <v>1396</v>
      </c>
      <c r="C30" s="33" t="s">
        <v>217</v>
      </c>
    </row>
    <row r="31" customFormat="false" ht="15" hidden="false" customHeight="false" outlineLevel="0" collapsed="false">
      <c r="A31" s="9" t="s">
        <v>1395</v>
      </c>
      <c r="B31" s="9" t="s">
        <v>1397</v>
      </c>
      <c r="C31" s="33" t="s">
        <v>217</v>
      </c>
    </row>
    <row r="32" customFormat="false" ht="15" hidden="false" customHeight="false" outlineLevel="0" collapsed="false">
      <c r="A32" s="58" t="s">
        <v>1398</v>
      </c>
      <c r="B32" s="58" t="s">
        <v>1399</v>
      </c>
      <c r="C32" s="33" t="s">
        <v>217</v>
      </c>
    </row>
    <row r="33" customFormat="false" ht="15" hidden="false" customHeight="false" outlineLevel="0" collapsed="false">
      <c r="A33" s="9" t="s">
        <v>1400</v>
      </c>
      <c r="B33" s="9" t="s">
        <v>1401</v>
      </c>
      <c r="C33" s="33" t="s">
        <v>217</v>
      </c>
    </row>
    <row r="34" customFormat="false" ht="15" hidden="false" customHeight="false" outlineLevel="0" collapsed="false">
      <c r="A34" s="58" t="s">
        <v>1400</v>
      </c>
      <c r="B34" s="58" t="s">
        <v>1402</v>
      </c>
      <c r="C34" s="33" t="s">
        <v>217</v>
      </c>
    </row>
    <row r="35" customFormat="false" ht="15" hidden="false" customHeight="false" outlineLevel="0" collapsed="false">
      <c r="A35" s="9" t="s">
        <v>1403</v>
      </c>
      <c r="B35" s="9" t="s">
        <v>1404</v>
      </c>
      <c r="C35" s="33" t="s">
        <v>217</v>
      </c>
    </row>
    <row r="36" customFormat="false" ht="15" hidden="false" customHeight="false" outlineLevel="0" collapsed="false">
      <c r="A36" s="58" t="s">
        <v>1405</v>
      </c>
      <c r="B36" s="58" t="s">
        <v>1406</v>
      </c>
      <c r="C36" s="33" t="s">
        <v>217</v>
      </c>
    </row>
    <row r="37" customFormat="false" ht="15" hidden="false" customHeight="false" outlineLevel="0" collapsed="false">
      <c r="A37" s="9" t="s">
        <v>1407</v>
      </c>
      <c r="B37" s="9" t="s">
        <v>1408</v>
      </c>
      <c r="C37" s="33" t="s">
        <v>217</v>
      </c>
    </row>
    <row r="38" customFormat="false" ht="15" hidden="false" customHeight="false" outlineLevel="0" collapsed="false">
      <c r="A38" s="58" t="s">
        <v>1409</v>
      </c>
      <c r="B38" s="58" t="s">
        <v>1410</v>
      </c>
      <c r="C38" s="33" t="s">
        <v>217</v>
      </c>
    </row>
  </sheetData>
  <hyperlinks>
    <hyperlink ref="C5" r:id="rId1" display="Link"/>
    <hyperlink ref="C6" r:id="rId2" display="Link"/>
    <hyperlink ref="C7" r:id="rId3" display="Link"/>
    <hyperlink ref="C8" r:id="rId4" display="Link"/>
    <hyperlink ref="C9" r:id="rId5" display="Link"/>
    <hyperlink ref="C10" r:id="rId6" display="Link"/>
    <hyperlink ref="C11" r:id="rId7" display="Link"/>
    <hyperlink ref="C12" r:id="rId8" display="Link"/>
    <hyperlink ref="C13" r:id="rId9" display="Link"/>
    <hyperlink ref="C14" r:id="rId10" display="Link"/>
    <hyperlink ref="C15" r:id="rId11" display="Link"/>
    <hyperlink ref="C16" r:id="rId12" display="Link"/>
    <hyperlink ref="C17" r:id="rId13" display="Link"/>
    <hyperlink ref="C18" r:id="rId14" display="Link"/>
    <hyperlink ref="C19" r:id="rId15" display="Link"/>
    <hyperlink ref="C20" r:id="rId16" display="Link"/>
    <hyperlink ref="C21" r:id="rId17" display="Link"/>
    <hyperlink ref="C22" r:id="rId18" display="Link"/>
    <hyperlink ref="C23" r:id="rId19" display="Link"/>
    <hyperlink ref="C24" r:id="rId20" display="Link"/>
    <hyperlink ref="C25" r:id="rId21" display="Link"/>
    <hyperlink ref="C26" r:id="rId22" display="Link"/>
    <hyperlink ref="C27" r:id="rId23" display="Link"/>
    <hyperlink ref="C28" r:id="rId24" display="Link"/>
    <hyperlink ref="C29" r:id="rId25" display="Link"/>
    <hyperlink ref="C30" r:id="rId26" display="Link"/>
    <hyperlink ref="C31" r:id="rId27" display="Link"/>
    <hyperlink ref="C32" r:id="rId28" display="Link"/>
    <hyperlink ref="C33" r:id="rId29" display="Link"/>
    <hyperlink ref="C34" r:id="rId30" display="Link"/>
    <hyperlink ref="C35" r:id="rId31" display="Link"/>
    <hyperlink ref="C36" r:id="rId32" display="Link"/>
    <hyperlink ref="C37" r:id="rId33" display="Link"/>
    <hyperlink ref="C38" r:id="rId34" display="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2026-10-19T01:56:29Z</dcterms:created>
  <dc:creator>openpyxl</dc:creator>
  <dc:description/>
  <dc:language>en-US</dc:language>
  <cp:lastModifiedBy/>
  <dcterms:modified xsi:type="dcterms:W3CDTF">2026-10-19T01:56:29Z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